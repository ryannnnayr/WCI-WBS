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omments1.xml" ContentType="application/vnd.openxmlformats-officedocument.spreadsheetml.comments+xml"/>
  <Override PartName="/xl/drawings/drawing2.xml" ContentType="application/vnd.openxmlformats-officedocument.drawing+xml"/>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124226"/>
  <mc:AlternateContent xmlns:mc="http://schemas.openxmlformats.org/markup-compatibility/2006">
    <mc:Choice Requires="x15">
      <x15ac:absPath xmlns:x15ac="http://schemas.microsoft.com/office/spreadsheetml/2010/11/ac" url="https://terraphase.sharepoint.com/sites/S084-SCE-WCI/Shared Documents/General/001 SCE Guidance/WBS Template/"/>
    </mc:Choice>
  </mc:AlternateContent>
  <xr:revisionPtr revIDLastSave="168" documentId="8_{218E6802-FF59-4346-BFBA-B6DF3863EC8E}" xr6:coauthVersionLast="47" xr6:coauthVersionMax="47" xr10:uidLastSave="{24484634-95DE-4EE9-B5C2-E762993031D9}"/>
  <bookViews>
    <workbookView xWindow="-120" yWindow="-120" windowWidth="51840" windowHeight="21120" xr2:uid="{00000000-000D-0000-FFFF-FFFF00000000}"/>
  </bookViews>
  <sheets>
    <sheet name="Scope Overview" sheetId="9" r:id="rId1"/>
    <sheet name="WCI Budget Detail" sheetId="12" r:id="rId2"/>
    <sheet name="Budget Detail" sheetId="7" r:id="rId3"/>
    <sheet name="Contractor Rates" sheetId="10" r:id="rId4"/>
    <sheet name="ESA Rates" sheetId="11" r:id="rId5"/>
  </sheets>
  <definedNames>
    <definedName name="_xlnm.Print_Area" localSheetId="2">'Budget Detail'!$A$3:$X$96</definedName>
    <definedName name="_xlnm.Print_Area" localSheetId="1">'WCI Budget Detail'!$A$3:$W$24</definedName>
    <definedName name="_xlnm.Print_Titles" localSheetId="2">'Budget Detail'!$A:$B,'Budget Detail'!$3:$17</definedName>
    <definedName name="_xlnm.Print_Titles" localSheetId="1">'WCI Budget Detail'!$A:$B,'WCI Budget Detail'!$3:$14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3" i="7" l="1"/>
  <c r="J33" i="7"/>
  <c r="G33" i="7"/>
  <c r="F33" i="7"/>
  <c r="A7" i="12"/>
  <c r="C19" i="9"/>
  <c r="S22" i="12"/>
  <c r="R22" i="12"/>
  <c r="Q22" i="12"/>
  <c r="P22" i="12"/>
  <c r="O22" i="12"/>
  <c r="N22" i="12"/>
  <c r="M22" i="12"/>
  <c r="L22" i="12"/>
  <c r="K22" i="12"/>
  <c r="J22" i="12"/>
  <c r="I22" i="12"/>
  <c r="H22" i="12"/>
  <c r="G22" i="12"/>
  <c r="F22" i="12"/>
  <c r="E22" i="12"/>
  <c r="D22" i="12"/>
  <c r="C22" i="12"/>
  <c r="G51" i="10"/>
  <c r="S33" i="7"/>
  <c r="X27" i="7"/>
  <c r="X29" i="7"/>
  <c r="X32" i="7"/>
  <c r="X25" i="7"/>
  <c r="X31" i="7"/>
  <c r="X30" i="7"/>
  <c r="A3" i="7"/>
  <c r="R68" i="7"/>
  <c r="S68" i="7"/>
  <c r="T68" i="7"/>
  <c r="U68" i="7"/>
  <c r="V68" i="7"/>
  <c r="W68" i="7"/>
  <c r="U40" i="7"/>
  <c r="V40" i="7"/>
  <c r="W40" i="7"/>
  <c r="T40" i="7"/>
  <c r="G40" i="7"/>
  <c r="R40" i="7"/>
  <c r="S40" i="7"/>
  <c r="Q17" i="7"/>
  <c r="A4" i="12"/>
  <c r="A5" i="12"/>
  <c r="A6" i="12"/>
  <c r="A8" i="12"/>
  <c r="A9" i="12"/>
  <c r="A10" i="12"/>
  <c r="A3" i="12"/>
  <c r="A4" i="7"/>
  <c r="A5" i="7"/>
  <c r="A6" i="7"/>
  <c r="A7" i="7"/>
  <c r="A8" i="7"/>
  <c r="A9" i="7"/>
  <c r="A10" i="7"/>
  <c r="E14" i="12"/>
  <c r="H14" i="12"/>
  <c r="E17" i="7"/>
  <c r="E23" i="7" s="1"/>
  <c r="H17" i="7"/>
  <c r="H23" i="7" s="1"/>
  <c r="C17" i="7"/>
  <c r="C91" i="7" s="1"/>
  <c r="D17" i="7"/>
  <c r="D43" i="7" s="1"/>
  <c r="F17" i="7"/>
  <c r="F85" i="7" s="1"/>
  <c r="G17" i="7"/>
  <c r="I17" i="7"/>
  <c r="J17" i="7"/>
  <c r="K17" i="7"/>
  <c r="L17" i="7"/>
  <c r="L23" i="7"/>
  <c r="M17" i="7"/>
  <c r="N17" i="7"/>
  <c r="O17" i="7"/>
  <c r="P17" i="7"/>
  <c r="R23" i="7"/>
  <c r="S23" i="7"/>
  <c r="T23" i="7"/>
  <c r="U23" i="7"/>
  <c r="V23" i="7"/>
  <c r="W23" i="7"/>
  <c r="R91" i="7"/>
  <c r="S91" i="7"/>
  <c r="T91" i="7"/>
  <c r="U91" i="7"/>
  <c r="V91" i="7"/>
  <c r="W91" i="7"/>
  <c r="R85" i="7"/>
  <c r="S85" i="7"/>
  <c r="T85" i="7"/>
  <c r="U85" i="7"/>
  <c r="V85" i="7"/>
  <c r="W85" i="7"/>
  <c r="R78" i="7"/>
  <c r="S78" i="7"/>
  <c r="T78" i="7"/>
  <c r="U78" i="7"/>
  <c r="V78" i="7"/>
  <c r="W78" i="7"/>
  <c r="R56" i="7"/>
  <c r="S56" i="7"/>
  <c r="T56" i="7"/>
  <c r="U56" i="7"/>
  <c r="V56" i="7"/>
  <c r="W56" i="7"/>
  <c r="R49" i="7"/>
  <c r="S49" i="7"/>
  <c r="T49" i="7"/>
  <c r="U49" i="7"/>
  <c r="V49" i="7"/>
  <c r="W49" i="7"/>
  <c r="R43" i="7"/>
  <c r="S43" i="7"/>
  <c r="T43" i="7"/>
  <c r="U43" i="7"/>
  <c r="V43" i="7"/>
  <c r="W43" i="7"/>
  <c r="R33" i="7"/>
  <c r="T33" i="7"/>
  <c r="U33" i="7"/>
  <c r="V33" i="7"/>
  <c r="W33" i="7"/>
  <c r="C14" i="12"/>
  <c r="W17" i="12" s="1"/>
  <c r="D14" i="12"/>
  <c r="W16" i="12" s="1"/>
  <c r="F14" i="12"/>
  <c r="G14" i="12"/>
  <c r="I14" i="12"/>
  <c r="J14" i="12"/>
  <c r="K14" i="12"/>
  <c r="L14" i="12"/>
  <c r="M14" i="12"/>
  <c r="N14" i="12"/>
  <c r="O14" i="12"/>
  <c r="P14" i="12"/>
  <c r="T22" i="12"/>
  <c r="U22" i="12"/>
  <c r="V22" i="12"/>
  <c r="C33" i="7" l="1"/>
  <c r="X26" i="7"/>
  <c r="Q68" i="7"/>
  <c r="Q43" i="7"/>
  <c r="Q23" i="7"/>
  <c r="Q56" i="7"/>
  <c r="Q40" i="7"/>
  <c r="Q49" i="7"/>
  <c r="Q33" i="7"/>
  <c r="G23" i="7"/>
  <c r="G68" i="7"/>
  <c r="I23" i="7"/>
  <c r="I68" i="7"/>
  <c r="J91" i="7"/>
  <c r="J68" i="7"/>
  <c r="K78" i="7"/>
  <c r="K68" i="7"/>
  <c r="L40" i="7"/>
  <c r="L68" i="7"/>
  <c r="M85" i="7"/>
  <c r="M68" i="7"/>
  <c r="N23" i="7"/>
  <c r="N68" i="7"/>
  <c r="O23" i="7"/>
  <c r="O68" i="7"/>
  <c r="P40" i="7"/>
  <c r="P68" i="7"/>
  <c r="W22" i="12"/>
  <c r="C37" i="9" s="1"/>
  <c r="F40" i="7"/>
  <c r="O40" i="7"/>
  <c r="N40" i="7"/>
  <c r="M40" i="7"/>
  <c r="W18" i="12"/>
  <c r="H68" i="7"/>
  <c r="W19" i="12"/>
  <c r="K40" i="7"/>
  <c r="W20" i="12"/>
  <c r="J40" i="7"/>
  <c r="F56" i="7"/>
  <c r="W21" i="12"/>
  <c r="D78" i="7"/>
  <c r="I40" i="7"/>
  <c r="F49" i="7"/>
  <c r="X39" i="7"/>
  <c r="F68" i="7"/>
  <c r="C78" i="7"/>
  <c r="H40" i="7"/>
  <c r="F43" i="7"/>
  <c r="R93" i="7"/>
  <c r="M49" i="7"/>
  <c r="K91" i="7"/>
  <c r="K33" i="7"/>
  <c r="K85" i="7"/>
  <c r="K56" i="7"/>
  <c r="C43" i="7"/>
  <c r="U93" i="7"/>
  <c r="P91" i="7"/>
  <c r="S93" i="7"/>
  <c r="C40" i="7"/>
  <c r="N91" i="7"/>
  <c r="P49" i="7"/>
  <c r="P78" i="7"/>
  <c r="C68" i="7"/>
  <c r="N49" i="7"/>
  <c r="P23" i="7"/>
  <c r="O78" i="7"/>
  <c r="L85" i="7"/>
  <c r="N33" i="7"/>
  <c r="E78" i="7"/>
  <c r="N85" i="7"/>
  <c r="O43" i="7"/>
  <c r="H33" i="7"/>
  <c r="N56" i="7"/>
  <c r="N78" i="7"/>
  <c r="H78" i="7"/>
  <c r="N43" i="7"/>
  <c r="H91" i="7"/>
  <c r="G49" i="7"/>
  <c r="X75" i="7"/>
  <c r="H49" i="7"/>
  <c r="I56" i="7"/>
  <c r="V93" i="7"/>
  <c r="K23" i="7"/>
  <c r="X52" i="7"/>
  <c r="X53" i="7"/>
  <c r="X82" i="7"/>
  <c r="X74" i="7"/>
  <c r="J49" i="7"/>
  <c r="J56" i="7"/>
  <c r="X63" i="7"/>
  <c r="E49" i="7"/>
  <c r="G56" i="7"/>
  <c r="J78" i="7"/>
  <c r="P85" i="7"/>
  <c r="P43" i="7"/>
  <c r="H56" i="7"/>
  <c r="G78" i="7"/>
  <c r="J23" i="7"/>
  <c r="G43" i="7"/>
  <c r="J85" i="7"/>
  <c r="I33" i="7"/>
  <c r="J43" i="7"/>
  <c r="H43" i="7"/>
  <c r="G85" i="7"/>
  <c r="E43" i="7"/>
  <c r="L49" i="7"/>
  <c r="P56" i="7"/>
  <c r="H85" i="7"/>
  <c r="I91" i="7"/>
  <c r="K49" i="7"/>
  <c r="E85" i="7"/>
  <c r="G91" i="7"/>
  <c r="W93" i="7"/>
  <c r="X54" i="7"/>
  <c r="T93" i="7"/>
  <c r="M78" i="7"/>
  <c r="M43" i="7"/>
  <c r="M23" i="7"/>
  <c r="M56" i="7"/>
  <c r="M33" i="7"/>
  <c r="M91" i="7"/>
  <c r="D85" i="7"/>
  <c r="X55" i="7"/>
  <c r="X35" i="7"/>
  <c r="X21" i="7"/>
  <c r="X90" i="7"/>
  <c r="X83" i="7"/>
  <c r="X84" i="7"/>
  <c r="X72" i="7"/>
  <c r="X61" i="7"/>
  <c r="X62" i="7"/>
  <c r="X37" i="7"/>
  <c r="X38" i="7"/>
  <c r="X20" i="7"/>
  <c r="D49" i="7"/>
  <c r="X87" i="7"/>
  <c r="X51" i="7"/>
  <c r="X19" i="7"/>
  <c r="L33" i="7"/>
  <c r="O49" i="7"/>
  <c r="C49" i="7"/>
  <c r="L56" i="7"/>
  <c r="F78" i="7"/>
  <c r="O85" i="7"/>
  <c r="C85" i="7"/>
  <c r="L91" i="7"/>
  <c r="F23" i="7"/>
  <c r="D23" i="7"/>
  <c r="X76" i="7"/>
  <c r="X88" i="7"/>
  <c r="X66" i="7"/>
  <c r="C23" i="7"/>
  <c r="X42" i="7"/>
  <c r="X58" i="7"/>
  <c r="X89" i="7"/>
  <c r="X65" i="7"/>
  <c r="D40" i="7"/>
  <c r="D68" i="7"/>
  <c r="X60" i="7"/>
  <c r="X77" i="7"/>
  <c r="L43" i="7"/>
  <c r="I49" i="7"/>
  <c r="L78" i="7"/>
  <c r="I85" i="7"/>
  <c r="F91" i="7"/>
  <c r="E33" i="7"/>
  <c r="K43" i="7"/>
  <c r="E56" i="7"/>
  <c r="E91" i="7"/>
  <c r="X70" i="7"/>
  <c r="X71" i="7"/>
  <c r="X59" i="7"/>
  <c r="X47" i="7"/>
  <c r="X48" i="7"/>
  <c r="X80" i="7"/>
  <c r="X67" i="7"/>
  <c r="D33" i="7"/>
  <c r="D56" i="7"/>
  <c r="D91" i="7"/>
  <c r="X46" i="7"/>
  <c r="X64" i="7"/>
  <c r="X28" i="7"/>
  <c r="E40" i="7"/>
  <c r="E68" i="7"/>
  <c r="X45" i="7"/>
  <c r="X73" i="7"/>
  <c r="X36" i="7"/>
  <c r="X81" i="7"/>
  <c r="X22" i="7"/>
  <c r="O33" i="7"/>
  <c r="I43" i="7"/>
  <c r="O56" i="7"/>
  <c r="C56" i="7"/>
  <c r="I78" i="7"/>
  <c r="O91" i="7"/>
  <c r="C93" i="7" l="1"/>
  <c r="X33" i="7"/>
  <c r="X56" i="7"/>
  <c r="X23" i="7"/>
  <c r="X40" i="7"/>
  <c r="K93" i="7"/>
  <c r="G93" i="7"/>
  <c r="I93" i="7"/>
  <c r="L93" i="7"/>
  <c r="J93" i="7"/>
  <c r="P93" i="7"/>
  <c r="H93" i="7"/>
  <c r="N93" i="7"/>
  <c r="X91" i="7"/>
  <c r="C35" i="9" s="1"/>
  <c r="E93" i="7"/>
  <c r="X78" i="7"/>
  <c r="X43" i="7"/>
  <c r="C23" i="9" s="1"/>
  <c r="X49" i="7"/>
  <c r="O93" i="7"/>
  <c r="M93" i="7"/>
  <c r="X68" i="7"/>
  <c r="D93" i="7"/>
  <c r="F93" i="7"/>
  <c r="X85" i="7"/>
  <c r="X93" i="7" l="1"/>
  <c r="X95" i="7"/>
  <c r="C31" i="9"/>
  <c r="C25" i="9"/>
  <c r="C17" i="9"/>
  <c r="C26" i="9"/>
  <c r="C21" i="9"/>
  <c r="C33" i="9"/>
  <c r="C29" i="9"/>
  <c r="C39"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Mo Tabon</author>
  </authors>
  <commentList>
    <comment ref="C14" authorId="0" shapeId="0" xr:uid="{EE7B2374-FBA5-49B1-ABCF-B0B27C605956}">
      <text>
        <r>
          <rPr>
            <b/>
            <sz val="8"/>
            <color indexed="81"/>
            <rFont val="Tahoma"/>
            <family val="2"/>
          </rPr>
          <t>Enter negotiated hourly rate.</t>
        </r>
      </text>
    </comment>
    <comment ref="D14" authorId="0" shapeId="0" xr:uid="{E0355065-2677-4F6A-88AB-F78A5FB04EDC}">
      <text>
        <r>
          <rPr>
            <b/>
            <sz val="8"/>
            <color indexed="81"/>
            <rFont val="Tahoma"/>
            <family val="2"/>
          </rPr>
          <t>Enter negotiated hourly rate.</t>
        </r>
      </text>
    </comment>
    <comment ref="E14" authorId="0" shapeId="0" xr:uid="{D6A3C991-D0F4-45A4-A975-D522E92BC585}">
      <text>
        <r>
          <rPr>
            <b/>
            <sz val="8"/>
            <color indexed="81"/>
            <rFont val="Tahoma"/>
            <family val="2"/>
          </rPr>
          <t>Enter negotiated hourly rate.</t>
        </r>
      </text>
    </comment>
    <comment ref="F14" authorId="0" shapeId="0" xr:uid="{A8951E28-9DA1-4CDA-89ED-F36CB132D59A}">
      <text>
        <r>
          <rPr>
            <b/>
            <sz val="8"/>
            <color indexed="81"/>
            <rFont val="Tahoma"/>
            <family val="2"/>
          </rPr>
          <t>Enter negotiated hourly rate.</t>
        </r>
      </text>
    </comment>
    <comment ref="G14" authorId="0" shapeId="0" xr:uid="{2FB304CA-D66B-41FE-8274-74F5F66E8EA0}">
      <text>
        <r>
          <rPr>
            <b/>
            <sz val="8"/>
            <color indexed="81"/>
            <rFont val="Tahoma"/>
            <family val="2"/>
          </rPr>
          <t>Enter negotiated hourly rate.</t>
        </r>
      </text>
    </comment>
    <comment ref="H14" authorId="0" shapeId="0" xr:uid="{681844AB-47C0-4913-A476-7623369D9C44}">
      <text>
        <r>
          <rPr>
            <b/>
            <sz val="8"/>
            <color indexed="81"/>
            <rFont val="Tahoma"/>
            <family val="2"/>
          </rPr>
          <t>Enter negotiated hourly rate.</t>
        </r>
      </text>
    </comment>
    <comment ref="I14" authorId="0" shapeId="0" xr:uid="{24D7E7B2-69D4-4BC8-BBFA-53D171D09AE4}">
      <text>
        <r>
          <rPr>
            <b/>
            <sz val="8"/>
            <color indexed="81"/>
            <rFont val="Tahoma"/>
            <family val="2"/>
          </rPr>
          <t>Enter negotiated hourly rate.</t>
        </r>
      </text>
    </comment>
    <comment ref="J14" authorId="0" shapeId="0" xr:uid="{123A6767-CBAA-481F-9192-3851F279DB0E}">
      <text>
        <r>
          <rPr>
            <b/>
            <sz val="8"/>
            <color indexed="81"/>
            <rFont val="Tahoma"/>
            <family val="2"/>
          </rPr>
          <t>Enter negotiated hourly rate.</t>
        </r>
      </text>
    </comment>
    <comment ref="K14" authorId="0" shapeId="0" xr:uid="{BC4D4E30-D643-4796-B7E7-E7832573F0D4}">
      <text>
        <r>
          <rPr>
            <b/>
            <sz val="8"/>
            <color indexed="81"/>
            <rFont val="Tahoma"/>
            <family val="2"/>
          </rPr>
          <t>Enter negotiated hourly rate.</t>
        </r>
      </text>
    </comment>
    <comment ref="L14" authorId="0" shapeId="0" xr:uid="{29DC12FD-C2F0-4435-80B5-B6220D13083E}">
      <text>
        <r>
          <rPr>
            <b/>
            <sz val="8"/>
            <color indexed="81"/>
            <rFont val="Tahoma"/>
            <family val="2"/>
          </rPr>
          <t>Enter negotiated hourly rate.</t>
        </r>
      </text>
    </comment>
    <comment ref="M14" authorId="0" shapeId="0" xr:uid="{10CB2384-C606-421B-AA4E-5361AE1B9D5C}">
      <text>
        <r>
          <rPr>
            <b/>
            <sz val="8"/>
            <color indexed="81"/>
            <rFont val="Tahoma"/>
            <family val="2"/>
          </rPr>
          <t>Enter negotiated hourly rate.</t>
        </r>
      </text>
    </comment>
    <comment ref="N14" authorId="0" shapeId="0" xr:uid="{E72F5F99-CE7D-45B7-BB6A-28A599197799}">
      <text>
        <r>
          <rPr>
            <b/>
            <sz val="8"/>
            <color indexed="81"/>
            <rFont val="Tahoma"/>
            <family val="2"/>
          </rPr>
          <t>Enter negotiated hourly rate.</t>
        </r>
      </text>
    </comment>
    <comment ref="O14" authorId="0" shapeId="0" xr:uid="{CE13592E-9592-447D-8973-139B1765E408}">
      <text>
        <r>
          <rPr>
            <b/>
            <sz val="8"/>
            <color indexed="81"/>
            <rFont val="Tahoma"/>
            <family val="2"/>
          </rPr>
          <t>Enter negotiated hourly rate.</t>
        </r>
      </text>
    </comment>
    <comment ref="P14" authorId="0" shapeId="0" xr:uid="{96A46D52-B45F-4E51-AD8F-E1AB2FAE7E6E}">
      <text>
        <r>
          <rPr>
            <b/>
            <sz val="8"/>
            <color indexed="81"/>
            <rFont val="Tahoma"/>
            <family val="2"/>
          </rPr>
          <t>Enter negotiated hourly rate.</t>
        </r>
      </text>
    </comment>
    <comment ref="Q14" authorId="0" shapeId="0" xr:uid="{0C29BB6E-E1A8-45B4-B48E-05ADD80C112C}">
      <text>
        <r>
          <rPr>
            <b/>
            <sz val="8"/>
            <color indexed="81"/>
            <rFont val="Tahoma"/>
            <family val="2"/>
          </rPr>
          <t>Enter negotiated hourly rate.</t>
        </r>
      </text>
    </comment>
    <comment ref="R14" authorId="0" shapeId="0" xr:uid="{AD581577-E035-4C62-9F8E-C5CDF8CD2295}">
      <text>
        <r>
          <rPr>
            <b/>
            <sz val="8"/>
            <color indexed="81"/>
            <rFont val="Tahoma"/>
            <family val="2"/>
          </rPr>
          <t>Enter negotiated hourly rate.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 Tabon</author>
  </authors>
  <commentList>
    <comment ref="C17" authorId="0" shapeId="0" xr:uid="{334DC0BA-1773-4FEE-8E7B-25F7B109B322}">
      <text>
        <r>
          <rPr>
            <b/>
            <sz val="8"/>
            <color indexed="81"/>
            <rFont val="Tahoma"/>
            <family val="2"/>
          </rPr>
          <t>Enter negotiated hourly rate.</t>
        </r>
      </text>
    </comment>
    <comment ref="D17" authorId="0" shapeId="0" xr:uid="{03E98391-DCFD-4C7A-A291-FFC5443AE37D}">
      <text>
        <r>
          <rPr>
            <b/>
            <sz val="8"/>
            <color indexed="81"/>
            <rFont val="Tahoma"/>
            <family val="2"/>
          </rPr>
          <t>Enter negotiated hourly rate.</t>
        </r>
      </text>
    </comment>
    <comment ref="E17" authorId="0" shapeId="0" xr:uid="{00000000-0006-0000-0100-000003000000}">
      <text>
        <r>
          <rPr>
            <b/>
            <sz val="8"/>
            <color indexed="81"/>
            <rFont val="Tahoma"/>
            <family val="2"/>
          </rPr>
          <t>Enter negotiated hourly rate.</t>
        </r>
      </text>
    </comment>
    <comment ref="F17" authorId="0" shapeId="0" xr:uid="{00000000-0006-0000-0100-000004000000}">
      <text>
        <r>
          <rPr>
            <b/>
            <sz val="8"/>
            <color indexed="81"/>
            <rFont val="Tahoma"/>
            <family val="2"/>
          </rPr>
          <t>Enter negotiated hourly rate.</t>
        </r>
      </text>
    </comment>
    <comment ref="G17" authorId="0" shapeId="0" xr:uid="{00000000-0006-0000-0100-000005000000}">
      <text>
        <r>
          <rPr>
            <b/>
            <sz val="8"/>
            <color indexed="81"/>
            <rFont val="Tahoma"/>
            <family val="2"/>
          </rPr>
          <t>Enter negotiated hourly rate.</t>
        </r>
      </text>
    </comment>
    <comment ref="H17" authorId="0" shapeId="0" xr:uid="{00000000-0006-0000-0100-000006000000}">
      <text>
        <r>
          <rPr>
            <b/>
            <sz val="8"/>
            <color indexed="81"/>
            <rFont val="Tahoma"/>
            <family val="2"/>
          </rPr>
          <t>Enter negotiated hourly rate.</t>
        </r>
      </text>
    </comment>
    <comment ref="I17" authorId="0" shapeId="0" xr:uid="{00000000-0006-0000-0100-000007000000}">
      <text>
        <r>
          <rPr>
            <b/>
            <sz val="8"/>
            <color indexed="81"/>
            <rFont val="Tahoma"/>
            <family val="2"/>
          </rPr>
          <t>Enter negotiated hourly rate.</t>
        </r>
      </text>
    </comment>
    <comment ref="J17" authorId="0" shapeId="0" xr:uid="{00000000-0006-0000-0100-000008000000}">
      <text>
        <r>
          <rPr>
            <b/>
            <sz val="8"/>
            <color indexed="81"/>
            <rFont val="Tahoma"/>
            <family val="2"/>
          </rPr>
          <t>Enter negotiated hourly rate.</t>
        </r>
      </text>
    </comment>
    <comment ref="K17" authorId="0" shapeId="0" xr:uid="{00000000-0006-0000-0100-000009000000}">
      <text>
        <r>
          <rPr>
            <b/>
            <sz val="8"/>
            <color indexed="81"/>
            <rFont val="Tahoma"/>
            <family val="2"/>
          </rPr>
          <t>Enter negotiated hourly rate.</t>
        </r>
      </text>
    </comment>
    <comment ref="L17" authorId="0" shapeId="0" xr:uid="{00000000-0006-0000-0100-00000B000000}">
      <text>
        <r>
          <rPr>
            <b/>
            <sz val="8"/>
            <color indexed="81"/>
            <rFont val="Tahoma"/>
            <family val="2"/>
          </rPr>
          <t>Enter negotiated hourly rate.</t>
        </r>
      </text>
    </comment>
    <comment ref="M17" authorId="0" shapeId="0" xr:uid="{00000000-0006-0000-0100-00000D000000}">
      <text>
        <r>
          <rPr>
            <b/>
            <sz val="8"/>
            <color indexed="81"/>
            <rFont val="Tahoma"/>
            <family val="2"/>
          </rPr>
          <t>Enter negotiated hourly rate.</t>
        </r>
      </text>
    </comment>
    <comment ref="N17" authorId="0" shapeId="0" xr:uid="{00000000-0006-0000-0100-00000E000000}">
      <text>
        <r>
          <rPr>
            <b/>
            <sz val="8"/>
            <color indexed="81"/>
            <rFont val="Tahoma"/>
            <family val="2"/>
          </rPr>
          <t>Enter negotiated hourly rate.</t>
        </r>
      </text>
    </comment>
    <comment ref="O17" authorId="0" shapeId="0" xr:uid="{00000000-0006-0000-0100-00000F000000}">
      <text>
        <r>
          <rPr>
            <b/>
            <sz val="8"/>
            <color indexed="81"/>
            <rFont val="Tahoma"/>
            <family val="2"/>
          </rPr>
          <t>Enter negotiated hourly rate.</t>
        </r>
      </text>
    </comment>
    <comment ref="P17" authorId="0" shapeId="0" xr:uid="{00000000-0006-0000-0100-000011000000}">
      <text>
        <r>
          <rPr>
            <b/>
            <sz val="8"/>
            <color indexed="81"/>
            <rFont val="Tahoma"/>
            <family val="2"/>
          </rPr>
          <t>Enter negotiated hourly rate.</t>
        </r>
      </text>
    </comment>
    <comment ref="Q17" authorId="0" shapeId="0" xr:uid="{F9996734-FF31-44C0-858C-1B29A1F35241}">
      <text>
        <r>
          <rPr>
            <b/>
            <sz val="8"/>
            <color indexed="81"/>
            <rFont val="Tahoma"/>
            <family val="2"/>
          </rPr>
          <t>Enter negotiated hourly rate.</t>
        </r>
      </text>
    </comment>
    <comment ref="R17" authorId="0" shapeId="0" xr:uid="{00000000-0006-0000-0100-000014000000}">
      <text>
        <r>
          <rPr>
            <b/>
            <sz val="8"/>
            <color indexed="81"/>
            <rFont val="Tahoma"/>
            <family val="2"/>
          </rPr>
          <t>Enter negotiated hourly rate.</t>
        </r>
      </text>
    </comment>
    <comment ref="S17" authorId="0" shapeId="0" xr:uid="{00000000-0006-0000-0100-000015000000}">
      <text>
        <r>
          <rPr>
            <b/>
            <sz val="8"/>
            <color indexed="81"/>
            <rFont val="Tahoma"/>
            <family val="2"/>
          </rPr>
          <t>Enter negotiated hourly rate.</t>
        </r>
      </text>
    </comment>
  </commentList>
</comments>
</file>

<file path=xl/sharedStrings.xml><?xml version="1.0" encoding="utf-8"?>
<sst xmlns="http://schemas.openxmlformats.org/spreadsheetml/2006/main" count="429" uniqueCount="304">
  <si>
    <t>Contractors to enter rates on this tab. Rates will autopopulate onto the Budget detail and Monthy Forecast Tab.</t>
  </si>
  <si>
    <t>Job Category</t>
  </si>
  <si>
    <t>Rate/hr</t>
  </si>
  <si>
    <t>Technical Expert</t>
  </si>
  <si>
    <t>Officer</t>
  </si>
  <si>
    <t>Principal/Director</t>
  </si>
  <si>
    <t>Senior Engineer</t>
  </si>
  <si>
    <t xml:space="preserve">Project Engineer </t>
  </si>
  <si>
    <t>Senior Staff Engineer</t>
  </si>
  <si>
    <t>Staff Engineer</t>
  </si>
  <si>
    <t>Junior Engineer</t>
  </si>
  <si>
    <t>CADD Specialist</t>
  </si>
  <si>
    <t>Document Editor</t>
  </si>
  <si>
    <t>Senior Field Technician</t>
  </si>
  <si>
    <t>Field Technician</t>
  </si>
  <si>
    <t>Admin II</t>
  </si>
  <si>
    <t>EQUIPMENT</t>
  </si>
  <si>
    <t>RATE</t>
  </si>
  <si>
    <t>DAY</t>
  </si>
  <si>
    <t>WEEK</t>
  </si>
  <si>
    <t>MONTH</t>
  </si>
  <si>
    <t>Company Truck</t>
  </si>
  <si>
    <t>Company Truck 4x4</t>
  </si>
  <si>
    <t>Rental Car</t>
  </si>
  <si>
    <t>Rental Truck</t>
  </si>
  <si>
    <t>Trimble GPS</t>
  </si>
  <si>
    <t>Trimble Antennae</t>
  </si>
  <si>
    <t>RKI Methane Gas Meter (or similar)</t>
  </si>
  <si>
    <t>4-gas meter</t>
  </si>
  <si>
    <t>Helium Shroud</t>
  </si>
  <si>
    <t>Mobile Laboratory (8260)</t>
  </si>
  <si>
    <t>Mobile Laboratory (TO-15)</t>
  </si>
  <si>
    <t>PID (ppm level)</t>
  </si>
  <si>
    <t>PID (ppb level)</t>
  </si>
  <si>
    <t>XRF</t>
  </si>
  <si>
    <t>Grundfos or other down well pump</t>
  </si>
  <si>
    <t>Low Flow Bladder Pump</t>
  </si>
  <si>
    <t>Low Flow Pump Controller</t>
  </si>
  <si>
    <t>Water Level Indicator (Solinst or similar)</t>
  </si>
  <si>
    <t>Water/Interface Indicator (Solinst of similar)</t>
  </si>
  <si>
    <t>Horiba U-42 or Similar</t>
  </si>
  <si>
    <t>Peristaltic Pump</t>
  </si>
  <si>
    <t>Soil Vapor Sampling Pump</t>
  </si>
  <si>
    <t>PM10 Dust Monitor</t>
  </si>
  <si>
    <t>Temp Weather Station</t>
  </si>
  <si>
    <t>Anemometer</t>
  </si>
  <si>
    <t>Generator</t>
  </si>
  <si>
    <t>Field Kit*</t>
  </si>
  <si>
    <t>Hand Auger - Kit Complete</t>
  </si>
  <si>
    <t>Rotary Hammer Drill</t>
  </si>
  <si>
    <t>Concrete Coring Equipment</t>
  </si>
  <si>
    <t>CONSUMABLES</t>
  </si>
  <si>
    <t>Low Flow Bonded Tubing (per foot)</t>
  </si>
  <si>
    <t>Low Flow Disposable Bladder</t>
  </si>
  <si>
    <t>Nylaflow Tubing</t>
  </si>
  <si>
    <t>Air Supply for Low Flow Sampling</t>
  </si>
  <si>
    <t>Nitrile Gloves</t>
  </si>
  <si>
    <t>Tedlar Bags</t>
  </si>
  <si>
    <t>Decon Kit (non-phosphate detergent)</t>
  </si>
  <si>
    <t>Sampling Kit**</t>
  </si>
  <si>
    <t>Tyvek Suits</t>
  </si>
  <si>
    <t>Respirator Cartridge</t>
  </si>
  <si>
    <t>*Field kit includes non disposable items such as field computer or tablet, hand tools (socket set, hammer), etc.</t>
  </si>
  <si>
    <t xml:space="preserve">**Sampling kit includes disposable items such as gloves (nitrile or others), ice, resealable storage bag </t>
  </si>
  <si>
    <t>Note: Non disposable field PPE should be included in the fully burdened labor rate (FR clothing, hart hat, safety glasses, leather gloves, steel toed boots, etc)</t>
  </si>
  <si>
    <t>PROJECT ROLE</t>
  </si>
  <si>
    <r>
      <t xml:space="preserve">WORK DESCRIPTION / </t>
    </r>
    <r>
      <rPr>
        <b/>
        <i/>
        <sz val="10"/>
        <rFont val="Arial"/>
        <family val="2"/>
      </rPr>
      <t>LICENSES</t>
    </r>
  </si>
  <si>
    <t>Minimum Years Experience</t>
  </si>
  <si>
    <r>
      <t xml:space="preserve">Subject matter expert in a particular environmental field. 
</t>
    </r>
    <r>
      <rPr>
        <i/>
        <sz val="10"/>
        <color rgb="FF000000"/>
        <rFont val="Arial"/>
        <family val="2"/>
      </rPr>
      <t>PE or PG or equivalent. Other relevant experience that make them an expert in their field.</t>
    </r>
  </si>
  <si>
    <r>
      <rPr>
        <sz val="10"/>
        <color rgb="FFFF0000"/>
        <rFont val="Arial"/>
        <family val="2"/>
      </rPr>
      <t xml:space="preserve">Contract </t>
    </r>
    <r>
      <rPr>
        <strike/>
        <sz val="10"/>
        <color rgb="FFFF0000"/>
        <rFont val="Arial"/>
        <family val="2"/>
      </rPr>
      <t xml:space="preserve">Program </t>
    </r>
    <r>
      <rPr>
        <sz val="10"/>
        <color rgb="FF000000"/>
        <rFont val="Arial"/>
        <family val="2"/>
      </rPr>
      <t>Manager – Provides oversight of the contract including all ESA, WCI, and REM projects.</t>
    </r>
  </si>
  <si>
    <t>Principal/ Director</t>
  </si>
  <si>
    <r>
      <rPr>
        <sz val="10"/>
        <color rgb="FF000000"/>
        <rFont val="Arial"/>
        <family val="2"/>
      </rPr>
      <t xml:space="preserve">Provides </t>
    </r>
    <r>
      <rPr>
        <sz val="10"/>
        <color rgb="FFFF0000"/>
        <rFont val="Arial"/>
        <family val="2"/>
      </rPr>
      <t xml:space="preserve">program </t>
    </r>
    <r>
      <rPr>
        <strike/>
        <sz val="10"/>
        <color rgb="FFFF0000"/>
        <rFont val="Arial"/>
        <family val="2"/>
      </rPr>
      <t>project</t>
    </r>
    <r>
      <rPr>
        <sz val="10"/>
        <color rgb="FF000000"/>
        <rFont val="Arial"/>
        <family val="2"/>
      </rPr>
      <t xml:space="preserve"> oversight, is responsible for auditing QA/QC, is the person responsible for resolving problems the project team cannot resolve. May also provide a high level of expertise where needed.   
</t>
    </r>
    <r>
      <rPr>
        <i/>
        <sz val="10"/>
        <color rgb="FF000000"/>
        <rFont val="Arial"/>
        <family val="2"/>
      </rPr>
      <t>PE or PG or equivalent.</t>
    </r>
  </si>
  <si>
    <r>
      <rPr>
        <sz val="10"/>
        <color rgb="FFFF0000"/>
        <rFont val="Arial"/>
        <family val="2"/>
      </rPr>
      <t xml:space="preserve">Project </t>
    </r>
    <r>
      <rPr>
        <strike/>
        <sz val="10"/>
        <color rgb="FFFF0000"/>
        <rFont val="Arial"/>
        <family val="2"/>
      </rPr>
      <t>Program</t>
    </r>
    <r>
      <rPr>
        <sz val="10"/>
        <color rgb="FF000000"/>
        <rFont val="Arial"/>
        <family val="2"/>
      </rPr>
      <t xml:space="preserve"> Manager/ Sr. Consultant</t>
    </r>
  </si>
  <si>
    <r>
      <rPr>
        <sz val="10"/>
        <color rgb="FF000000"/>
        <rFont val="Arial"/>
        <family val="2"/>
      </rPr>
      <t xml:space="preserve">Manages </t>
    </r>
    <r>
      <rPr>
        <sz val="10"/>
        <color rgb="FFFF0000"/>
        <rFont val="Arial"/>
        <family val="2"/>
      </rPr>
      <t xml:space="preserve">projects </t>
    </r>
    <r>
      <rPr>
        <strike/>
        <sz val="10"/>
        <color rgb="FFFF0000"/>
        <rFont val="Arial"/>
        <family val="2"/>
      </rPr>
      <t>programs</t>
    </r>
    <r>
      <rPr>
        <sz val="10"/>
        <color rgb="FF000000"/>
        <rFont val="Arial"/>
        <family val="2"/>
      </rPr>
      <t xml:space="preserve"> that have a high cost, may extend over several years and may include several projects or provides a recognized high level of expertise in a science or engineering discipline relevant to the program. </t>
    </r>
  </si>
  <si>
    <t>Sr. Eng/ Scientist; Consultant</t>
  </si>
  <si>
    <t xml:space="preserve">Manages projects that have a moderately high to high cost, may be complex and may extend over several years or provides a high level of expertise in a science or engineering discipline relevant to the program. </t>
  </si>
  <si>
    <t>Project Eng/ Scientist</t>
  </si>
  <si>
    <t xml:space="preserve">Manages projects of low to moderately high costs that are at most moderately complex and typically with a duration of less than one year or is the task manager on more costly and longer duration projects.   </t>
  </si>
  <si>
    <t>Sr. Staff Eng/ Scientist</t>
  </si>
  <si>
    <t>Provides technical support that may include performing engineering or scientific calculations and preparing complete reports for some relatively simple projects and report sections including tables and figures for more complex projects.</t>
  </si>
  <si>
    <t>Staff Eng/ Scientist</t>
  </si>
  <si>
    <t>Provides technical support typically in a single discipline that may include performing engineering or scientific calculations and preparing report sections including tables and figures.</t>
  </si>
  <si>
    <t>CADD</t>
  </si>
  <si>
    <t>Provides support in creation of required figures and management of databases</t>
  </si>
  <si>
    <t>Sr. Technician</t>
  </si>
  <si>
    <t>Performs field investigation with guidance from an engineer, scientist or the Remediation Manager.</t>
  </si>
  <si>
    <t>Technician</t>
  </si>
  <si>
    <t xml:space="preserve">Performs field investigation under the oversight of a Sr. field tech, remediation manager, engineer or scientist.  </t>
  </si>
  <si>
    <t>Reviews documents for obvious technical errors, consistency, grammar and spelling.   Improves document readability.  Checks to ensure that the content of the document including all figures, tables and appendices are included in the reports.</t>
  </si>
  <si>
    <t>0-2</t>
  </si>
  <si>
    <t>Admin/ Contract Admin</t>
  </si>
  <si>
    <t>Provides support to project management and staff in preparation of documents and presentations and the distribution of information.</t>
  </si>
  <si>
    <t>Type of Work</t>
  </si>
  <si>
    <t>Proposed Pricing</t>
  </si>
  <si>
    <t>Description</t>
  </si>
  <si>
    <t xml:space="preserve">Typical Phase I ESA
(lump sum)
</t>
  </si>
  <si>
    <t>1. Scope follows AAI &amp; latest ASTM E 1527
2. Schedule: Draft report provided within 4 weeks.
3. Location: baseline assumption is &lt; 50 mile radius of Rosemead, CA
4. Includes: record search package (database, aerials, topos, lien and title search).</t>
  </si>
  <si>
    <t>Additional parcel – title and lien search</t>
  </si>
  <si>
    <t>Per parcel title/lien search, when more than one APN</t>
  </si>
  <si>
    <t>Phase I Quick turnaround</t>
  </si>
  <si>
    <t>&lt;12 Days* to draft</t>
  </si>
  <si>
    <t xml:space="preserve">High-Level Screen ESA
(lump sum)
</t>
  </si>
  <si>
    <t>1. Scope generally follows AAI &amp; latest ASTM E 1527. Exceptions: no owner/tenant interviews if unavailable, site visit may be limited to public access areas, no title/lien report for SCE owned properties.
2. Schedule: Draft report provided within 4 weeks.
3. Location: baseline assumption is &lt; 50 mile radius of Rosemead, CA
4. Includes record search package. Assumes that the property is SCE owned and does not include a lien/title report.</t>
  </si>
  <si>
    <t>Title and lien search</t>
  </si>
  <si>
    <t xml:space="preserve">Title and lien search not required for SCE owned properties. Fee to be added when title/lien search specifically requested. Per APN fee. </t>
  </si>
  <si>
    <t>HLS Quick turnaround</t>
  </si>
  <si>
    <t>Typical Low Level Screen ESA  
(lump sum)</t>
  </si>
  <si>
    <t>1. Site visit from publically accessible location or with an SCE representative, when appropriate.
2. Field visit/reconnaissance
3. Review free and readily available public records with regards to the site and adjoining properties. Obtain and review aerial photos and include as attachment to the LLS report.
4. Schedule: Draft report provided within 2 weeks. 
5. Final letter report (include figures and photos). SCE PM to be notified when REC(s) identified so that sampling can be evaluated as soon as possible.
6. Location: baseline assumption &lt; 50 mile radius of Rosemead, CA</t>
  </si>
  <si>
    <t xml:space="preserve">Quick turnaround </t>
  </si>
  <si>
    <t>&lt;5 Days* to draft</t>
  </si>
  <si>
    <r>
      <t xml:space="preserve"> &gt;50 and ≤150 miles from Rosemead</t>
    </r>
    <r>
      <rPr>
        <vertAlign val="superscript"/>
        <sz val="10"/>
        <rFont val="Arial"/>
        <family val="2"/>
      </rPr>
      <t>1</t>
    </r>
  </si>
  <si>
    <t xml:space="preserve">From 2244 Walnut Grove, Rosemead. Includes mileage, fuel, meals and other incidentals. </t>
  </si>
  <si>
    <t>&gt;150 and ≤250 miles from Rosemead</t>
  </si>
  <si>
    <t>From 2244 Walnut Grove, Rosemead. Mileage included. When hotel is needed due to overnight stay, use per diem rate.</t>
  </si>
  <si>
    <t>Desktop Review</t>
  </si>
  <si>
    <t>1. Review of Geotracker, Envirostor, and Wellfinder for releases at the site address or on the adjoining properties.
2. Excel summary table of findings.
3. Schedule: 1 to 2 weeks.</t>
  </si>
  <si>
    <t>10 site baseline</t>
  </si>
  <si>
    <t xml:space="preserve">Assumes group of 10 sites will be requested together and that each site review will take an average of 15 to 20 minutes to complete </t>
  </si>
  <si>
    <t>Each additional site</t>
  </si>
  <si>
    <t>Work Breadown Structure</t>
  </si>
  <si>
    <t>Scope Overview</t>
  </si>
  <si>
    <t>GENERAL SCOPE OVERVIEW</t>
  </si>
  <si>
    <t>SCOPE OF WORK DESCRIPTION</t>
  </si>
  <si>
    <t>SUB TOTAL</t>
  </si>
  <si>
    <t>A</t>
  </si>
  <si>
    <t>AGENCY/THIRD PARTY/PRP ISSUES</t>
  </si>
  <si>
    <t>B</t>
  </si>
  <si>
    <t>ENVIRONMENTAL SITE INVESTIGATION</t>
  </si>
  <si>
    <t>C</t>
  </si>
  <si>
    <t>SITE MONITORING</t>
  </si>
  <si>
    <t>D</t>
  </si>
  <si>
    <t>RISK ASSESSMENT</t>
  </si>
  <si>
    <t>E</t>
  </si>
  <si>
    <t>FEASIBILITY / CORRECTIVE MEASURES STUDIES</t>
  </si>
  <si>
    <t>F</t>
  </si>
  <si>
    <t>REMEDIAL DESIGN</t>
  </si>
  <si>
    <t>G</t>
  </si>
  <si>
    <t>CONSTRUCTION</t>
  </si>
  <si>
    <t>H</t>
  </si>
  <si>
    <t>OPERATIONS AND MAINTENANCE</t>
  </si>
  <si>
    <t>I</t>
  </si>
  <si>
    <t>CLOSURE</t>
  </si>
  <si>
    <t>J</t>
  </si>
  <si>
    <t>EXTERNAL PROJECT MANAGEMENT</t>
  </si>
  <si>
    <t>TOTAL</t>
  </si>
  <si>
    <t>Work Breakdown Structure</t>
  </si>
  <si>
    <t>Budget Detail</t>
  </si>
  <si>
    <t>(Enter negotiated hourly rates in the Contractor Rates Tab Only)</t>
  </si>
  <si>
    <t>WORK BREAKDOWN STRUCTURE</t>
  </si>
  <si>
    <t>Principal / Director</t>
  </si>
  <si>
    <t>Project Manager</t>
  </si>
  <si>
    <t>Project Engineer</t>
  </si>
  <si>
    <t>Senior Technician</t>
  </si>
  <si>
    <t>Admin</t>
  </si>
  <si>
    <t>Mileage</t>
  </si>
  <si>
    <t xml:space="preserve"> Field Vehicle/Day</t>
  </si>
  <si>
    <t>Equipment</t>
  </si>
  <si>
    <t>Per Diem</t>
  </si>
  <si>
    <t>Vehicle Rental</t>
  </si>
  <si>
    <t>Lab / Contractor</t>
  </si>
  <si>
    <t xml:space="preserve">A </t>
  </si>
  <si>
    <t>A1</t>
  </si>
  <si>
    <t>PRP / 3rd Party Costs</t>
  </si>
  <si>
    <t>A2</t>
  </si>
  <si>
    <t>Agency Oversight Costs</t>
  </si>
  <si>
    <t>A3</t>
  </si>
  <si>
    <t>Agency Negotiations / Meetings</t>
  </si>
  <si>
    <t>A4</t>
  </si>
  <si>
    <t>Travel / Other / Miscellaneous</t>
  </si>
  <si>
    <t>AZ</t>
  </si>
  <si>
    <t>B1</t>
  </si>
  <si>
    <t>Scope Development (Workplan H&amp;S, O&amp;M, etc.)</t>
  </si>
  <si>
    <t>B2</t>
  </si>
  <si>
    <t>Field Investigation</t>
  </si>
  <si>
    <t>B3</t>
  </si>
  <si>
    <t>Laboratory</t>
  </si>
  <si>
    <t>B4</t>
  </si>
  <si>
    <t>Drilling</t>
  </si>
  <si>
    <t>B5</t>
  </si>
  <si>
    <t>RI Report</t>
  </si>
  <si>
    <t>B6</t>
  </si>
  <si>
    <t>Computer Modeling / Analysis</t>
  </si>
  <si>
    <t>B7</t>
  </si>
  <si>
    <t>Disposal Costs</t>
  </si>
  <si>
    <t>B8</t>
  </si>
  <si>
    <t>BZ</t>
  </si>
  <si>
    <t>C1</t>
  </si>
  <si>
    <t>Sampling Activities (all media)</t>
  </si>
  <si>
    <t>C2</t>
  </si>
  <si>
    <t>C3</t>
  </si>
  <si>
    <t>Data Evaluation / Reporting</t>
  </si>
  <si>
    <t>C4</t>
  </si>
  <si>
    <t>C5</t>
  </si>
  <si>
    <t>CZ</t>
  </si>
  <si>
    <t>D1</t>
  </si>
  <si>
    <t>Risk Assessment Analysis / Report</t>
  </si>
  <si>
    <t>DZ</t>
  </si>
  <si>
    <t>E1</t>
  </si>
  <si>
    <t>Scope Development / Workplan</t>
  </si>
  <si>
    <t>E2</t>
  </si>
  <si>
    <t>Bench Scale / Pilot Studies</t>
  </si>
  <si>
    <t>E3</t>
  </si>
  <si>
    <t>FS Analysis / Report</t>
  </si>
  <si>
    <t>E4</t>
  </si>
  <si>
    <t>EZ</t>
  </si>
  <si>
    <t xml:space="preserve"> FEASIBILITY / CORRECTIVE MEASURES STUDIES</t>
  </si>
  <si>
    <t>F1</t>
  </si>
  <si>
    <t>F2</t>
  </si>
  <si>
    <t>Engineering Estimate</t>
  </si>
  <si>
    <t>F3</t>
  </si>
  <si>
    <t>Design Package Preparation</t>
  </si>
  <si>
    <t>F4</t>
  </si>
  <si>
    <t>As-Built Drawings</t>
  </si>
  <si>
    <t>F5</t>
  </si>
  <si>
    <t>FZ</t>
  </si>
  <si>
    <t>G1</t>
  </si>
  <si>
    <t>G2</t>
  </si>
  <si>
    <t>Health and Safety</t>
  </si>
  <si>
    <t>G3</t>
  </si>
  <si>
    <t>Bid Package</t>
  </si>
  <si>
    <t>G4</t>
  </si>
  <si>
    <t>Permits</t>
  </si>
  <si>
    <t>G5</t>
  </si>
  <si>
    <t>Contractor Selection / Procurement</t>
  </si>
  <si>
    <t>G6</t>
  </si>
  <si>
    <t>Remediation Equipment</t>
  </si>
  <si>
    <t>G7</t>
  </si>
  <si>
    <t>Remedial Activities</t>
  </si>
  <si>
    <t>G8</t>
  </si>
  <si>
    <t>Construction Management</t>
  </si>
  <si>
    <t>G9</t>
  </si>
  <si>
    <t>G10</t>
  </si>
  <si>
    <t>GZ</t>
  </si>
  <si>
    <t>H1</t>
  </si>
  <si>
    <t>Plan Preparation (H&amp;S, O&amp;M, etc.)</t>
  </si>
  <si>
    <t>H2</t>
  </si>
  <si>
    <t>H3</t>
  </si>
  <si>
    <t>Utilities</t>
  </si>
  <si>
    <t>H4</t>
  </si>
  <si>
    <t>Equipment Maintenance / Repair</t>
  </si>
  <si>
    <t>H5</t>
  </si>
  <si>
    <t>Chemicals / Supplies</t>
  </si>
  <si>
    <t>H6</t>
  </si>
  <si>
    <t>Labor (Operator / Technician)</t>
  </si>
  <si>
    <t>H7</t>
  </si>
  <si>
    <t>H8</t>
  </si>
  <si>
    <t>&lt;HZ</t>
  </si>
  <si>
    <t xml:space="preserve">  OPERATIONS AND MAINTENANCE</t>
  </si>
  <si>
    <t>I1</t>
  </si>
  <si>
    <t>System Shutdown / Removal</t>
  </si>
  <si>
    <t>I2</t>
  </si>
  <si>
    <t>Long-term Maintenance</t>
  </si>
  <si>
    <t>I3</t>
  </si>
  <si>
    <t>I4</t>
  </si>
  <si>
    <t>I5</t>
  </si>
  <si>
    <t>IZ</t>
  </si>
  <si>
    <t>J1</t>
  </si>
  <si>
    <t>Consultant Project Management</t>
  </si>
  <si>
    <t>J2</t>
  </si>
  <si>
    <t>External Legal - Preventive/Advice</t>
  </si>
  <si>
    <t>J3</t>
  </si>
  <si>
    <t>Program Compliance</t>
  </si>
  <si>
    <t>J4</t>
  </si>
  <si>
    <t>JZ</t>
  </si>
  <si>
    <t xml:space="preserve">  EXTERNAL PROJECT MANAGEMENT</t>
  </si>
  <si>
    <t xml:space="preserve">     TOTAL</t>
  </si>
  <si>
    <t xml:space="preserve">     CHECK</t>
  </si>
  <si>
    <t>KZ</t>
  </si>
  <si>
    <t xml:space="preserve"> WCI SAMPLING</t>
  </si>
  <si>
    <t>K1</t>
  </si>
  <si>
    <t>K2</t>
  </si>
  <si>
    <t>K3</t>
  </si>
  <si>
    <t>K4</t>
  </si>
  <si>
    <t>Project Management</t>
  </si>
  <si>
    <t>WCI SAMPLING TOTAL</t>
  </si>
  <si>
    <t>K</t>
  </si>
  <si>
    <t>SCE Environmental Section: Remediation</t>
  </si>
  <si>
    <t>For Change Orders Only</t>
  </si>
  <si>
    <t>Previously Authorized Amount</t>
  </si>
  <si>
    <t>New Rquested Total (Auto Calculates)</t>
  </si>
  <si>
    <t>For Change Orders, Please enter previously authorized total in Cell F2 of this Workbook Page</t>
  </si>
  <si>
    <t>Lump Sum Costs</t>
  </si>
  <si>
    <t>Actual Rental Cost</t>
  </si>
  <si>
    <t>Actual Subcontractor Cost</t>
  </si>
  <si>
    <t>Actual Cost</t>
  </si>
  <si>
    <t>each</t>
  </si>
  <si>
    <t>foot</t>
  </si>
  <si>
    <t>large box</t>
  </si>
  <si>
    <t>1 liter</t>
  </si>
  <si>
    <t>day</t>
  </si>
  <si>
    <t>Contractor Name: Terraphase Engineering, Inc.</t>
  </si>
  <si>
    <t>Contractor Project Manager: Ryan Thompson</t>
  </si>
  <si>
    <t>RH</t>
  </si>
  <si>
    <t>HA</t>
  </si>
  <si>
    <t>FK</t>
  </si>
  <si>
    <t xml:space="preserve">Purchase Requsition Number: </t>
  </si>
  <si>
    <t>Period of Performance: October-November 2026</t>
  </si>
  <si>
    <t>WCI standard  HA plus field kit</t>
  </si>
  <si>
    <t>Project Name: [project name]</t>
  </si>
  <si>
    <t>SCE Project Manager: [WCI PM]</t>
  </si>
  <si>
    <t>Release PO#  [SAP]</t>
  </si>
  <si>
    <t>[Equip fee]</t>
  </si>
  <si>
    <t>[equip fee]</t>
  </si>
  <si>
    <t xml:space="preserve">Sampling of [media] in support of construction project.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</si>
</sst>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4" formatCode="_(&quot;$&quot;* #,##0.00_);_(&quot;$&quot;* \(#,##0.00\);_(&quot;$&quot;* &quot;-&quot;??_);_(@_)"/>
    <numFmt numFmtId="164" formatCode="0.0"/>
    <numFmt numFmtId="165" formatCode="_(&quot;$&quot;* #,##0_);_(&quot;$&quot;* \(#,##0\);_(&quot;$&quot;* &quot;-&quot;??_);_(@_)"/>
    <numFmt numFmtId="166" formatCode="&quot;$&quot;#,##0"/>
    <numFmt numFmtId="167" formatCode="&quot;$&quot;#,##0.00"/>
    <numFmt numFmtId="168" formatCode="#,##0.0"/>
  </numFmts>
  <fonts count="29" x14ac:knownFonts="1">
    <font>
      <sz val="10"/>
      <name val="Times New Roman"/>
    </font>
    <font>
      <sz val="10"/>
      <name val="Times New Roman"/>
      <family val="1"/>
    </font>
    <font>
      <sz val="10"/>
      <name val="Arial"/>
      <family val="2"/>
    </font>
    <font>
      <b/>
      <sz val="10"/>
      <name val="Arial"/>
      <family val="2"/>
    </font>
    <font>
      <sz val="10"/>
      <name val="Arial"/>
      <family val="2"/>
    </font>
    <font>
      <b/>
      <sz val="9"/>
      <name val="Arial"/>
      <family val="2"/>
    </font>
    <font>
      <i/>
      <sz val="10"/>
      <name val="Arial"/>
      <family val="2"/>
    </font>
    <font>
      <b/>
      <sz val="12"/>
      <name val="Arial"/>
      <family val="2"/>
    </font>
    <font>
      <b/>
      <sz val="8"/>
      <name val="Arial"/>
      <family val="2"/>
    </font>
    <font>
      <sz val="10"/>
      <color indexed="9"/>
      <name val="Arial"/>
      <family val="2"/>
    </font>
    <font>
      <b/>
      <sz val="8"/>
      <color indexed="81"/>
      <name val="Tahoma"/>
      <family val="2"/>
    </font>
    <font>
      <b/>
      <sz val="11"/>
      <name val="Arial"/>
      <family val="2"/>
    </font>
    <font>
      <sz val="11"/>
      <name val="Times New Roman"/>
      <family val="1"/>
    </font>
    <font>
      <b/>
      <sz val="12"/>
      <color rgb="FF00B0F0"/>
      <name val="Arial"/>
      <family val="2"/>
    </font>
    <font>
      <sz val="10"/>
      <color theme="0"/>
      <name val="Arial"/>
      <family val="2"/>
    </font>
    <font>
      <b/>
      <sz val="10"/>
      <color rgb="FFFFFF99"/>
      <name val="Arial"/>
      <family val="2"/>
    </font>
    <font>
      <b/>
      <u/>
      <sz val="10"/>
      <name val="Arial"/>
      <family val="2"/>
    </font>
    <font>
      <b/>
      <sz val="10"/>
      <color theme="1"/>
      <name val="Arial"/>
      <family val="2"/>
    </font>
    <font>
      <b/>
      <sz val="10"/>
      <color theme="0"/>
      <name val="Arial"/>
      <family val="2"/>
    </font>
    <font>
      <b/>
      <i/>
      <sz val="10"/>
      <name val="Arial"/>
      <family val="2"/>
    </font>
    <font>
      <sz val="10"/>
      <color rgb="FF000000"/>
      <name val="Arial"/>
      <family val="2"/>
    </font>
    <font>
      <i/>
      <sz val="10"/>
      <color rgb="FF000000"/>
      <name val="Arial"/>
      <family val="2"/>
    </font>
    <font>
      <b/>
      <sz val="11"/>
      <color theme="1"/>
      <name val="Arial"/>
      <family val="2"/>
    </font>
    <font>
      <vertAlign val="superscript"/>
      <sz val="10"/>
      <name val="Arial"/>
      <family val="2"/>
    </font>
    <font>
      <sz val="10"/>
      <color rgb="FFFF0000"/>
      <name val="Arial"/>
      <family val="2"/>
    </font>
    <font>
      <strike/>
      <sz val="10"/>
      <color rgb="FFFF0000"/>
      <name val="Arial"/>
      <family val="2"/>
    </font>
    <font>
      <sz val="10"/>
      <color rgb="FF000000"/>
      <name val="Arial"/>
      <family val="2"/>
    </font>
    <font>
      <sz val="10"/>
      <color rgb="FFFF0000"/>
      <name val="Arial"/>
      <family val="2"/>
    </font>
    <font>
      <u/>
      <sz val="10"/>
      <color theme="10"/>
      <name val="Times New Roman"/>
      <family val="1"/>
    </font>
  </fonts>
  <fills count="12">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1" tint="4.9989318521683403E-2"/>
        <bgColor indexed="64"/>
      </patternFill>
    </fill>
    <fill>
      <patternFill patternType="solid">
        <fgColor rgb="FFFFFF99"/>
        <bgColor indexed="64"/>
      </patternFill>
    </fill>
    <fill>
      <patternFill patternType="solid">
        <fgColor theme="0"/>
        <bgColor indexed="64"/>
      </patternFill>
    </fill>
    <fill>
      <patternFill patternType="solid">
        <fgColor theme="3" tint="0.79998168889431442"/>
        <bgColor indexed="64"/>
      </patternFill>
    </fill>
    <fill>
      <patternFill patternType="solid">
        <fgColor rgb="FFFFFFCC"/>
        <bgColor indexed="64"/>
      </patternFill>
    </fill>
    <fill>
      <patternFill patternType="solid">
        <fgColor rgb="FF92D050"/>
        <bgColor indexed="64"/>
      </patternFill>
    </fill>
  </fills>
  <borders count="58">
    <border>
      <left/>
      <right/>
      <top/>
      <bottom/>
      <diagonal/>
    </border>
    <border>
      <left/>
      <right/>
      <top/>
      <bottom style="medium">
        <color indexed="64"/>
      </bottom>
      <diagonal/>
    </border>
    <border>
      <left/>
      <right style="medium">
        <color indexed="64"/>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medium">
        <color indexed="64"/>
      </left>
      <right/>
      <top style="medium">
        <color indexed="64"/>
      </top>
      <bottom style="medium">
        <color indexed="64"/>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hair">
        <color indexed="64"/>
      </right>
      <top style="hair">
        <color indexed="64"/>
      </top>
      <bottom/>
      <diagonal/>
    </border>
    <border>
      <left/>
      <right style="thin">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right/>
      <top style="thin">
        <color indexed="64"/>
      </top>
      <bottom/>
      <diagonal/>
    </border>
    <border>
      <left style="thin">
        <color indexed="64"/>
      </left>
      <right/>
      <top style="thin">
        <color indexed="64"/>
      </top>
      <bottom/>
      <diagonal/>
    </border>
    <border>
      <left style="dashed">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thin">
        <color indexed="64"/>
      </bottom>
      <diagonal/>
    </border>
    <border>
      <left/>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ashed">
        <color indexed="64"/>
      </left>
      <right/>
      <top style="thin">
        <color indexed="64"/>
      </top>
      <bottom style="dashed">
        <color auto="1"/>
      </bottom>
      <diagonal/>
    </border>
    <border>
      <left/>
      <right/>
      <top style="thin">
        <color indexed="64"/>
      </top>
      <bottom style="dashed">
        <color auto="1"/>
      </bottom>
      <diagonal/>
    </border>
    <border>
      <left/>
      <right style="thin">
        <color auto="1"/>
      </right>
      <top style="thin">
        <color indexed="64"/>
      </top>
      <bottom style="dashed">
        <color auto="1"/>
      </bottom>
      <diagonal/>
    </border>
    <border>
      <left style="dashed">
        <color indexed="64"/>
      </left>
      <right/>
      <top style="dashed">
        <color indexed="64"/>
      </top>
      <bottom style="dashed">
        <color auto="1"/>
      </bottom>
      <diagonal/>
    </border>
    <border>
      <left/>
      <right/>
      <top style="dashed">
        <color indexed="64"/>
      </top>
      <bottom style="dashed">
        <color auto="1"/>
      </bottom>
      <diagonal/>
    </border>
    <border>
      <left/>
      <right style="thin">
        <color auto="1"/>
      </right>
      <top style="dashed">
        <color indexed="64"/>
      </top>
      <bottom style="dashed">
        <color auto="1"/>
      </bottom>
      <diagonal/>
    </border>
    <border>
      <left style="dashed">
        <color indexed="64"/>
      </left>
      <right/>
      <top style="dashed">
        <color indexed="64"/>
      </top>
      <bottom/>
      <diagonal/>
    </border>
    <border>
      <left/>
      <right/>
      <top style="dashed">
        <color indexed="64"/>
      </top>
      <bottom/>
      <diagonal/>
    </border>
    <border>
      <left/>
      <right style="thin">
        <color auto="1"/>
      </right>
      <top style="dashed">
        <color indexed="64"/>
      </top>
      <bottom/>
      <diagonal/>
    </border>
  </borders>
  <cellStyleXfs count="5">
    <xf numFmtId="0" fontId="0" fillId="0" borderId="0"/>
    <xf numFmtId="44" fontId="1" fillId="0" borderId="0" applyFont="0" applyFill="0" applyBorder="0" applyAlignment="0" applyProtection="0"/>
    <xf numFmtId="0" fontId="2" fillId="0" borderId="0"/>
    <xf numFmtId="0" fontId="12" fillId="0" borderId="0" applyNumberFormat="0" applyFont="0" applyFill="0" applyBorder="0">
      <alignment wrapText="1"/>
      <protection locked="0"/>
    </xf>
    <xf numFmtId="0" fontId="28" fillId="0" borderId="0" applyNumberFormat="0" applyFill="0" applyBorder="0" applyAlignment="0" applyProtection="0"/>
  </cellStyleXfs>
  <cellXfs count="209">
    <xf numFmtId="0" fontId="0" fillId="0" borderId="0" xfId="0"/>
    <xf numFmtId="0" fontId="3" fillId="0" borderId="0" xfId="0" applyFont="1"/>
    <xf numFmtId="0" fontId="4" fillId="0" borderId="0" xfId="0" applyFont="1"/>
    <xf numFmtId="0" fontId="5" fillId="0" borderId="0" xfId="0" applyFont="1"/>
    <xf numFmtId="0" fontId="7" fillId="0" borderId="0" xfId="0" applyFont="1" applyAlignment="1">
      <alignment horizontal="center"/>
    </xf>
    <xf numFmtId="165" fontId="4" fillId="0" borderId="0" xfId="1" applyNumberFormat="1" applyFont="1"/>
    <xf numFmtId="0" fontId="5" fillId="2" borderId="1" xfId="0" applyFont="1" applyFill="1" applyBorder="1"/>
    <xf numFmtId="165" fontId="4" fillId="0" borderId="0" xfId="0" applyNumberFormat="1" applyFont="1"/>
    <xf numFmtId="164" fontId="5" fillId="0" borderId="0" xfId="0" applyNumberFormat="1" applyFont="1"/>
    <xf numFmtId="2" fontId="5" fillId="2" borderId="1" xfId="0" applyNumberFormat="1" applyFont="1" applyFill="1" applyBorder="1"/>
    <xf numFmtId="0" fontId="3" fillId="0" borderId="0" xfId="0" applyFont="1" applyAlignment="1">
      <alignment vertical="top"/>
    </xf>
    <xf numFmtId="0" fontId="7" fillId="0" borderId="0" xfId="0" applyFont="1"/>
    <xf numFmtId="3" fontId="7" fillId="0" borderId="0" xfId="0" applyNumberFormat="1" applyFont="1" applyAlignment="1">
      <alignment horizontal="center"/>
    </xf>
    <xf numFmtId="3" fontId="4" fillId="0" borderId="0" xfId="0" applyNumberFormat="1" applyFont="1"/>
    <xf numFmtId="3" fontId="4" fillId="0" borderId="0" xfId="0" applyNumberFormat="1" applyFont="1" applyAlignment="1">
      <alignment horizontal="right"/>
    </xf>
    <xf numFmtId="166" fontId="4" fillId="0" borderId="0" xfId="1" applyNumberFormat="1" applyFont="1" applyBorder="1"/>
    <xf numFmtId="166" fontId="4" fillId="0" borderId="0" xfId="1" applyNumberFormat="1" applyFont="1" applyAlignment="1">
      <alignment horizontal="right"/>
    </xf>
    <xf numFmtId="166" fontId="4" fillId="0" borderId="0" xfId="1" applyNumberFormat="1" applyFont="1"/>
    <xf numFmtId="166" fontId="4" fillId="0" borderId="0" xfId="0" applyNumberFormat="1" applyFont="1"/>
    <xf numFmtId="166" fontId="3" fillId="0" borderId="0" xfId="0" applyNumberFormat="1" applyFont="1"/>
    <xf numFmtId="166" fontId="7" fillId="0" borderId="0" xfId="0" applyNumberFormat="1" applyFont="1" applyAlignment="1">
      <alignment horizontal="center"/>
    </xf>
    <xf numFmtId="166" fontId="9" fillId="3" borderId="0" xfId="1" applyNumberFormat="1" applyFont="1" applyFill="1" applyAlignment="1">
      <alignment horizontal="right"/>
    </xf>
    <xf numFmtId="166" fontId="4" fillId="0" borderId="0" xfId="0" applyNumberFormat="1" applyFont="1" applyAlignment="1">
      <alignment horizontal="right"/>
    </xf>
    <xf numFmtId="166" fontId="5" fillId="0" borderId="0" xfId="0" applyNumberFormat="1" applyFont="1"/>
    <xf numFmtId="0" fontId="5" fillId="0" borderId="0" xfId="0" applyFont="1" applyAlignment="1">
      <alignment vertical="center"/>
    </xf>
    <xf numFmtId="0" fontId="5" fillId="0" borderId="2" xfId="0" applyFont="1" applyBorder="1"/>
    <xf numFmtId="166" fontId="3" fillId="0" borderId="2" xfId="1" applyNumberFormat="1" applyFont="1" applyBorder="1"/>
    <xf numFmtId="0" fontId="3" fillId="0" borderId="2" xfId="0" applyFont="1" applyBorder="1"/>
    <xf numFmtId="166" fontId="3" fillId="0" borderId="2" xfId="0" applyNumberFormat="1" applyFont="1" applyBorder="1"/>
    <xf numFmtId="0" fontId="11" fillId="0" borderId="0" xfId="0" applyFont="1"/>
    <xf numFmtId="0" fontId="4" fillId="0" borderId="0" xfId="0" applyFont="1" applyAlignment="1">
      <alignment vertical="top"/>
    </xf>
    <xf numFmtId="166" fontId="4" fillId="0" borderId="0" xfId="0" applyNumberFormat="1" applyFont="1" applyAlignment="1">
      <alignment vertical="top"/>
    </xf>
    <xf numFmtId="166" fontId="3" fillId="0" borderId="0" xfId="0" applyNumberFormat="1" applyFont="1" applyAlignment="1">
      <alignment vertical="top"/>
    </xf>
    <xf numFmtId="37" fontId="4" fillId="0" borderId="3" xfId="1" applyNumberFormat="1" applyFont="1" applyFill="1" applyBorder="1" applyAlignment="1" applyProtection="1">
      <alignment horizontal="right"/>
    </xf>
    <xf numFmtId="44" fontId="4" fillId="0" borderId="3" xfId="1" applyFont="1" applyFill="1" applyBorder="1" applyAlignment="1" applyProtection="1">
      <alignment horizontal="right"/>
    </xf>
    <xf numFmtId="3" fontId="4" fillId="0" borderId="4" xfId="0" applyNumberFormat="1" applyFont="1" applyBorder="1" applyAlignment="1">
      <alignment horizontal="right"/>
    </xf>
    <xf numFmtId="44" fontId="4" fillId="0" borderId="4" xfId="1" applyFont="1" applyFill="1" applyBorder="1" applyAlignment="1" applyProtection="1">
      <alignment horizontal="right"/>
    </xf>
    <xf numFmtId="44" fontId="4" fillId="0" borderId="5" xfId="1" applyFont="1" applyBorder="1" applyAlignment="1">
      <alignment horizontal="right"/>
    </xf>
    <xf numFmtId="3" fontId="4" fillId="0" borderId="3" xfId="0" applyNumberFormat="1" applyFont="1" applyBorder="1" applyAlignment="1">
      <alignment horizontal="right"/>
    </xf>
    <xf numFmtId="44" fontId="4" fillId="0" borderId="6" xfId="1" applyFont="1" applyBorder="1" applyAlignment="1">
      <alignment horizontal="right"/>
    </xf>
    <xf numFmtId="37" fontId="4" fillId="0" borderId="4" xfId="1" applyNumberFormat="1" applyFont="1" applyFill="1" applyBorder="1" applyAlignment="1" applyProtection="1">
      <alignment horizontal="right"/>
    </xf>
    <xf numFmtId="3" fontId="4" fillId="0" borderId="4" xfId="1" applyNumberFormat="1" applyFont="1" applyFill="1" applyBorder="1" applyAlignment="1">
      <alignment horizontal="right"/>
    </xf>
    <xf numFmtId="3" fontId="4" fillId="0" borderId="4" xfId="1" applyNumberFormat="1" applyFont="1" applyBorder="1" applyAlignment="1">
      <alignment horizontal="right"/>
    </xf>
    <xf numFmtId="44" fontId="4" fillId="0" borderId="7" xfId="1" applyFont="1" applyFill="1" applyBorder="1" applyAlignment="1">
      <alignment horizontal="right"/>
    </xf>
    <xf numFmtId="37" fontId="4" fillId="0" borderId="8" xfId="1" applyNumberFormat="1" applyFont="1" applyFill="1" applyBorder="1" applyAlignment="1" applyProtection="1">
      <alignment horizontal="right"/>
    </xf>
    <xf numFmtId="37" fontId="4" fillId="0" borderId="9" xfId="1" applyNumberFormat="1" applyFont="1" applyFill="1" applyBorder="1" applyAlignment="1" applyProtection="1">
      <alignment horizontal="right"/>
    </xf>
    <xf numFmtId="3" fontId="4" fillId="0" borderId="8" xfId="0" applyNumberFormat="1" applyFont="1" applyBorder="1" applyAlignment="1">
      <alignment horizontal="right"/>
    </xf>
    <xf numFmtId="3" fontId="4" fillId="0" borderId="9" xfId="0" applyNumberFormat="1" applyFont="1" applyBorder="1" applyAlignment="1">
      <alignment horizontal="right"/>
    </xf>
    <xf numFmtId="3" fontId="4" fillId="0" borderId="8" xfId="1" applyNumberFormat="1" applyFont="1" applyBorder="1" applyAlignment="1">
      <alignment horizontal="right"/>
    </xf>
    <xf numFmtId="3" fontId="8" fillId="0" borderId="10" xfId="0" applyNumberFormat="1" applyFont="1" applyBorder="1" applyAlignment="1">
      <alignment horizontal="center"/>
    </xf>
    <xf numFmtId="166" fontId="8" fillId="0" borderId="10" xfId="0" applyNumberFormat="1" applyFont="1" applyBorder="1" applyAlignment="1">
      <alignment horizontal="center"/>
    </xf>
    <xf numFmtId="3" fontId="8" fillId="0" borderId="11" xfId="0" applyNumberFormat="1" applyFont="1" applyBorder="1" applyAlignment="1">
      <alignment horizontal="center"/>
    </xf>
    <xf numFmtId="166" fontId="8" fillId="0" borderId="11" xfId="0" applyNumberFormat="1" applyFont="1" applyBorder="1" applyAlignment="1">
      <alignment horizontal="center"/>
    </xf>
    <xf numFmtId="166" fontId="5" fillId="0" borderId="10" xfId="1" applyNumberFormat="1" applyFont="1" applyBorder="1" applyAlignment="1">
      <alignment horizontal="center"/>
    </xf>
    <xf numFmtId="166" fontId="3" fillId="0" borderId="11" xfId="1" applyNumberFormat="1" applyFont="1" applyBorder="1" applyAlignment="1">
      <alignment horizontal="center"/>
    </xf>
    <xf numFmtId="3" fontId="8" fillId="0" borderId="12" xfId="0" applyNumberFormat="1" applyFont="1" applyBorder="1" applyAlignment="1">
      <alignment horizontal="center"/>
    </xf>
    <xf numFmtId="3" fontId="6" fillId="0" borderId="8" xfId="2" applyNumberFormat="1" applyFont="1" applyBorder="1" applyAlignment="1">
      <alignment horizontal="right" wrapText="1"/>
    </xf>
    <xf numFmtId="165" fontId="4" fillId="0" borderId="14" xfId="1" applyNumberFormat="1" applyFont="1" applyFill="1" applyBorder="1" applyAlignment="1">
      <alignment horizontal="center"/>
    </xf>
    <xf numFmtId="3" fontId="4" fillId="0" borderId="15" xfId="0" applyNumberFormat="1" applyFont="1" applyBorder="1" applyAlignment="1">
      <alignment horizontal="right"/>
    </xf>
    <xf numFmtId="0" fontId="13" fillId="0" borderId="0" xfId="0" applyFont="1"/>
    <xf numFmtId="166" fontId="5" fillId="4" borderId="0" xfId="1" applyNumberFormat="1" applyFont="1" applyFill="1" applyBorder="1" applyAlignment="1" applyProtection="1">
      <alignment horizontal="left"/>
    </xf>
    <xf numFmtId="166" fontId="3" fillId="4" borderId="2" xfId="0" applyNumberFormat="1" applyFont="1" applyFill="1" applyBorder="1"/>
    <xf numFmtId="166" fontId="3" fillId="4" borderId="0" xfId="1" applyNumberFormat="1" applyFont="1" applyFill="1" applyBorder="1" applyAlignment="1">
      <alignment horizontal="left"/>
    </xf>
    <xf numFmtId="166" fontId="3" fillId="4" borderId="2" xfId="0" applyNumberFormat="1" applyFont="1" applyFill="1" applyBorder="1" applyAlignment="1">
      <alignment vertical="top"/>
    </xf>
    <xf numFmtId="44" fontId="4" fillId="4" borderId="19" xfId="1" applyFont="1" applyFill="1" applyBorder="1" applyAlignment="1">
      <alignment horizontal="right"/>
    </xf>
    <xf numFmtId="44" fontId="4" fillId="4" borderId="20" xfId="1" applyFont="1" applyFill="1" applyBorder="1" applyAlignment="1">
      <alignment horizontal="right"/>
    </xf>
    <xf numFmtId="3" fontId="4" fillId="5" borderId="0" xfId="0" applyNumberFormat="1" applyFont="1" applyFill="1" applyAlignment="1">
      <alignment horizontal="right"/>
    </xf>
    <xf numFmtId="49" fontId="3" fillId="5" borderId="17" xfId="0" applyNumberFormat="1" applyFont="1" applyFill="1" applyBorder="1" applyAlignment="1">
      <alignment vertical="top"/>
    </xf>
    <xf numFmtId="166" fontId="4" fillId="5" borderId="0" xfId="0" applyNumberFormat="1" applyFont="1" applyFill="1" applyAlignment="1">
      <alignment horizontal="right"/>
    </xf>
    <xf numFmtId="0" fontId="3" fillId="5" borderId="17" xfId="0" applyFont="1" applyFill="1" applyBorder="1"/>
    <xf numFmtId="0" fontId="5" fillId="5" borderId="1" xfId="0" applyFont="1" applyFill="1" applyBorder="1"/>
    <xf numFmtId="49" fontId="3" fillId="5" borderId="17" xfId="0" applyNumberFormat="1" applyFont="1" applyFill="1" applyBorder="1"/>
    <xf numFmtId="3" fontId="4" fillId="5" borderId="0" xfId="0" applyNumberFormat="1" applyFont="1" applyFill="1" applyAlignment="1">
      <alignment horizontal="right" wrapText="1"/>
    </xf>
    <xf numFmtId="3" fontId="6" fillId="5" borderId="0" xfId="2" applyNumberFormat="1" applyFont="1" applyFill="1" applyAlignment="1">
      <alignment horizontal="right"/>
    </xf>
    <xf numFmtId="3" fontId="6" fillId="5" borderId="0" xfId="0" applyNumberFormat="1" applyFont="1" applyFill="1" applyAlignment="1">
      <alignment horizontal="right" wrapText="1"/>
    </xf>
    <xf numFmtId="44" fontId="4" fillId="5" borderId="0" xfId="1" applyFont="1" applyFill="1" applyAlignment="1">
      <alignment horizontal="right"/>
    </xf>
    <xf numFmtId="0" fontId="5" fillId="5" borderId="21" xfId="0" applyFont="1" applyFill="1" applyBorder="1"/>
    <xf numFmtId="0" fontId="3" fillId="5" borderId="22" xfId="0" applyFont="1" applyFill="1" applyBorder="1"/>
    <xf numFmtId="0" fontId="5" fillId="5" borderId="24" xfId="0" applyFont="1" applyFill="1" applyBorder="1"/>
    <xf numFmtId="0" fontId="3" fillId="5" borderId="25" xfId="0" applyFont="1" applyFill="1" applyBorder="1"/>
    <xf numFmtId="49" fontId="3" fillId="5" borderId="25" xfId="0" applyNumberFormat="1" applyFont="1" applyFill="1" applyBorder="1"/>
    <xf numFmtId="2" fontId="5" fillId="2" borderId="24" xfId="0" applyNumberFormat="1" applyFont="1" applyFill="1" applyBorder="1"/>
    <xf numFmtId="0" fontId="5" fillId="2" borderId="24" xfId="0" applyFont="1" applyFill="1" applyBorder="1"/>
    <xf numFmtId="49" fontId="3" fillId="5" borderId="25" xfId="0" applyNumberFormat="1" applyFont="1" applyFill="1" applyBorder="1" applyAlignment="1">
      <alignment vertical="top"/>
    </xf>
    <xf numFmtId="0" fontId="1" fillId="0" borderId="0" xfId="0" applyFont="1"/>
    <xf numFmtId="0" fontId="3" fillId="0" borderId="25" xfId="0" applyFont="1" applyBorder="1" applyAlignment="1">
      <alignment vertical="center"/>
    </xf>
    <xf numFmtId="167" fontId="3" fillId="7" borderId="25" xfId="0" applyNumberFormat="1" applyFont="1" applyFill="1" applyBorder="1" applyAlignment="1">
      <alignment horizontal="centerContinuous" vertical="center"/>
    </xf>
    <xf numFmtId="166" fontId="3" fillId="7" borderId="25" xfId="0" applyNumberFormat="1" applyFont="1" applyFill="1" applyBorder="1" applyAlignment="1">
      <alignment horizontal="centerContinuous" vertical="center"/>
    </xf>
    <xf numFmtId="166" fontId="15" fillId="7" borderId="14" xfId="0" applyNumberFormat="1" applyFont="1" applyFill="1" applyBorder="1" applyAlignment="1">
      <alignment horizontal="centerContinuous" vertical="center"/>
    </xf>
    <xf numFmtId="166" fontId="8" fillId="0" borderId="10" xfId="0" applyNumberFormat="1" applyFont="1" applyBorder="1" applyAlignment="1">
      <alignment horizontal="center" wrapText="1"/>
    </xf>
    <xf numFmtId="3" fontId="8" fillId="0" borderId="10" xfId="0" applyNumberFormat="1" applyFont="1" applyBorder="1" applyAlignment="1">
      <alignment horizontal="center" wrapText="1"/>
    </xf>
    <xf numFmtId="3" fontId="8" fillId="0" borderId="13" xfId="0" applyNumberFormat="1" applyFont="1" applyBorder="1" applyAlignment="1">
      <alignment horizontal="center" wrapText="1"/>
    </xf>
    <xf numFmtId="3" fontId="16" fillId="0" borderId="0" xfId="0" applyNumberFormat="1" applyFont="1" applyAlignment="1">
      <alignment horizontal="left"/>
    </xf>
    <xf numFmtId="44" fontId="4" fillId="4" borderId="41" xfId="1" applyFont="1" applyFill="1" applyBorder="1" applyAlignment="1">
      <alignment horizontal="right"/>
    </xf>
    <xf numFmtId="44" fontId="4" fillId="0" borderId="18" xfId="1" applyFont="1" applyFill="1" applyBorder="1" applyAlignment="1">
      <alignment horizontal="right"/>
    </xf>
    <xf numFmtId="166" fontId="4" fillId="5" borderId="16" xfId="1" applyNumberFormat="1" applyFont="1" applyFill="1" applyBorder="1" applyAlignment="1">
      <alignment horizontal="right"/>
    </xf>
    <xf numFmtId="44" fontId="4" fillId="5" borderId="16" xfId="1" applyFont="1" applyFill="1" applyBorder="1" applyAlignment="1">
      <alignment horizontal="right"/>
    </xf>
    <xf numFmtId="166" fontId="17" fillId="4" borderId="25" xfId="0" applyNumberFormat="1" applyFont="1" applyFill="1" applyBorder="1" applyAlignment="1">
      <alignment horizontal="center" vertical="center"/>
    </xf>
    <xf numFmtId="0" fontId="3" fillId="9" borderId="30" xfId="0" applyFont="1" applyFill="1" applyBorder="1"/>
    <xf numFmtId="0" fontId="3" fillId="9" borderId="31" xfId="0" applyFont="1" applyFill="1" applyBorder="1"/>
    <xf numFmtId="0" fontId="2" fillId="0" borderId="0" xfId="0" applyFont="1"/>
    <xf numFmtId="3" fontId="4" fillId="0" borderId="32" xfId="0" applyNumberFormat="1" applyFont="1" applyBorder="1" applyAlignment="1">
      <alignment horizontal="left"/>
    </xf>
    <xf numFmtId="0" fontId="18" fillId="4" borderId="25" xfId="0" applyFont="1" applyFill="1" applyBorder="1" applyAlignment="1">
      <alignment horizontal="center" vertical="center"/>
    </xf>
    <xf numFmtId="0" fontId="17" fillId="4" borderId="40" xfId="0" applyFont="1" applyFill="1" applyBorder="1" applyAlignment="1">
      <alignment horizontal="center" vertical="center"/>
    </xf>
    <xf numFmtId="0" fontId="17" fillId="4" borderId="14" xfId="0" applyFont="1" applyFill="1" applyBorder="1" applyAlignment="1">
      <alignment horizontal="center" vertical="center"/>
    </xf>
    <xf numFmtId="0" fontId="4" fillId="0" borderId="32" xfId="0" applyFont="1" applyBorder="1" applyAlignment="1">
      <alignment vertical="center"/>
    </xf>
    <xf numFmtId="0" fontId="4" fillId="0" borderId="34" xfId="0" applyFont="1" applyBorder="1" applyAlignment="1">
      <alignment vertical="center"/>
    </xf>
    <xf numFmtId="0" fontId="4" fillId="8" borderId="37" xfId="0" applyFont="1" applyFill="1" applyBorder="1" applyAlignment="1">
      <alignment vertical="center"/>
    </xf>
    <xf numFmtId="0" fontId="4" fillId="8" borderId="36" xfId="0" applyFont="1" applyFill="1" applyBorder="1" applyAlignment="1">
      <alignment vertical="center"/>
    </xf>
    <xf numFmtId="0" fontId="4" fillId="8" borderId="12" xfId="0" applyFont="1" applyFill="1" applyBorder="1" applyAlignment="1">
      <alignment vertical="center"/>
    </xf>
    <xf numFmtId="0" fontId="4" fillId="0" borderId="30" xfId="0" applyFont="1" applyBorder="1" applyAlignment="1">
      <alignment vertical="center"/>
    </xf>
    <xf numFmtId="0" fontId="4" fillId="0" borderId="0" xfId="0" applyFont="1" applyAlignment="1">
      <alignment vertical="center"/>
    </xf>
    <xf numFmtId="0" fontId="3" fillId="0" borderId="21" xfId="0" applyFont="1" applyBorder="1" applyAlignment="1">
      <alignment horizontal="center" vertical="center" wrapText="1"/>
    </xf>
    <xf numFmtId="0" fontId="3" fillId="0" borderId="22" xfId="0" applyFont="1" applyBorder="1" applyAlignment="1">
      <alignment horizontal="center" vertical="center"/>
    </xf>
    <xf numFmtId="0" fontId="3" fillId="0" borderId="23" xfId="0" applyFont="1" applyBorder="1" applyAlignment="1">
      <alignment horizontal="center" vertical="center" wrapText="1"/>
    </xf>
    <xf numFmtId="0" fontId="4" fillId="0" borderId="24" xfId="0" applyFont="1" applyBorder="1" applyAlignment="1">
      <alignment vertical="center" wrapText="1"/>
    </xf>
    <xf numFmtId="0" fontId="20" fillId="0" borderId="25" xfId="0" applyFont="1" applyBorder="1" applyAlignment="1">
      <alignment vertical="center" wrapText="1"/>
    </xf>
    <xf numFmtId="0" fontId="4" fillId="0" borderId="26" xfId="0" applyFont="1" applyBorder="1" applyAlignment="1">
      <alignment horizontal="center" vertical="center"/>
    </xf>
    <xf numFmtId="0" fontId="4" fillId="0" borderId="25" xfId="0" applyFont="1" applyBorder="1" applyAlignment="1">
      <alignment vertical="center" wrapText="1"/>
    </xf>
    <xf numFmtId="0" fontId="4" fillId="0" borderId="26" xfId="0" applyFont="1" applyBorder="1" applyAlignment="1">
      <alignment horizontal="center" vertical="center" wrapText="1"/>
    </xf>
    <xf numFmtId="16" fontId="4" fillId="0" borderId="26" xfId="0" applyNumberFormat="1" applyFont="1" applyBorder="1" applyAlignment="1">
      <alignment horizontal="center" vertical="center" wrapText="1"/>
    </xf>
    <xf numFmtId="0" fontId="4" fillId="0" borderId="27" xfId="0" applyFont="1" applyBorder="1" applyAlignment="1">
      <alignment vertical="center" wrapText="1"/>
    </xf>
    <xf numFmtId="0" fontId="4" fillId="0" borderId="28" xfId="0" applyFont="1" applyBorder="1" applyAlignment="1">
      <alignment vertical="center" wrapText="1"/>
    </xf>
    <xf numFmtId="0" fontId="4" fillId="0" borderId="29" xfId="0" applyFont="1" applyBorder="1" applyAlignment="1">
      <alignment horizontal="center" vertical="center" wrapText="1"/>
    </xf>
    <xf numFmtId="0" fontId="4" fillId="0" borderId="26" xfId="0" applyFont="1" applyBorder="1"/>
    <xf numFmtId="44" fontId="4" fillId="5" borderId="26" xfId="0" applyNumberFormat="1" applyFont="1" applyFill="1" applyBorder="1"/>
    <xf numFmtId="44" fontId="4" fillId="0" borderId="26" xfId="0" applyNumberFormat="1" applyFont="1" applyBorder="1"/>
    <xf numFmtId="0" fontId="4" fillId="5" borderId="26" xfId="0" applyFont="1" applyFill="1" applyBorder="1"/>
    <xf numFmtId="0" fontId="4" fillId="0" borderId="29" xfId="0" applyFont="1" applyBorder="1"/>
    <xf numFmtId="44" fontId="14" fillId="6" borderId="0" xfId="0" applyNumberFormat="1" applyFont="1" applyFill="1"/>
    <xf numFmtId="0" fontId="4" fillId="0" borderId="2" xfId="0" applyFont="1" applyBorder="1"/>
    <xf numFmtId="166" fontId="4" fillId="0" borderId="0" xfId="0" applyNumberFormat="1" applyFont="1" applyAlignment="1">
      <alignment horizontal="left" vertical="center"/>
    </xf>
    <xf numFmtId="0" fontId="22" fillId="9" borderId="21" xfId="0" applyFont="1" applyFill="1" applyBorder="1" applyAlignment="1">
      <alignment vertical="center"/>
    </xf>
    <xf numFmtId="166" fontId="22" fillId="9" borderId="22" xfId="0" applyNumberFormat="1" applyFont="1" applyFill="1" applyBorder="1" applyAlignment="1">
      <alignment horizontal="left" vertical="center"/>
    </xf>
    <xf numFmtId="0" fontId="22" fillId="9" borderId="23" xfId="0" applyFont="1" applyFill="1" applyBorder="1" applyAlignment="1">
      <alignment vertical="center"/>
    </xf>
    <xf numFmtId="0" fontId="17" fillId="0" borderId="24" xfId="0" applyFont="1" applyBorder="1" applyAlignment="1">
      <alignment vertical="center" wrapText="1"/>
    </xf>
    <xf numFmtId="42" fontId="4" fillId="10" borderId="25" xfId="0" applyNumberFormat="1" applyFont="1" applyFill="1" applyBorder="1" applyAlignment="1">
      <alignment horizontal="right" vertical="center" indent="5"/>
    </xf>
    <xf numFmtId="0" fontId="4" fillId="0" borderId="26" xfId="0" applyFont="1" applyBorder="1" applyAlignment="1">
      <alignment vertical="center" wrapText="1"/>
    </xf>
    <xf numFmtId="0" fontId="4" fillId="0" borderId="26" xfId="0" applyFont="1" applyBorder="1" applyAlignment="1">
      <alignment horizontal="left" vertical="center" wrapText="1"/>
    </xf>
    <xf numFmtId="0" fontId="4" fillId="0" borderId="42" xfId="0" applyFont="1" applyBorder="1" applyAlignment="1">
      <alignment vertical="center"/>
    </xf>
    <xf numFmtId="42" fontId="4" fillId="10" borderId="11" xfId="0" applyNumberFormat="1" applyFont="1" applyFill="1" applyBorder="1" applyAlignment="1">
      <alignment horizontal="right" vertical="center" indent="5"/>
    </xf>
    <xf numFmtId="0" fontId="4" fillId="0" borderId="43" xfId="0" applyFont="1" applyBorder="1" applyAlignment="1">
      <alignment horizontal="left" vertical="center" wrapText="1"/>
    </xf>
    <xf numFmtId="0" fontId="17" fillId="0" borderId="44" xfId="0" applyFont="1" applyBorder="1" applyAlignment="1">
      <alignment vertical="center" wrapText="1"/>
    </xf>
    <xf numFmtId="42" fontId="4" fillId="10" borderId="10" xfId="0" applyNumberFormat="1" applyFont="1" applyFill="1" applyBorder="1" applyAlignment="1">
      <alignment horizontal="right" vertical="center" indent="5"/>
    </xf>
    <xf numFmtId="0" fontId="4" fillId="0" borderId="45" xfId="0" applyFont="1" applyBorder="1" applyAlignment="1">
      <alignment vertical="center" wrapText="1"/>
    </xf>
    <xf numFmtId="0" fontId="4" fillId="0" borderId="42" xfId="0" applyFont="1" applyBorder="1" applyAlignment="1">
      <alignment vertical="center" wrapText="1"/>
    </xf>
    <xf numFmtId="0" fontId="4" fillId="0" borderId="44" xfId="0" applyFont="1" applyBorder="1" applyAlignment="1">
      <alignment vertical="center" wrapText="1"/>
    </xf>
    <xf numFmtId="0" fontId="4" fillId="0" borderId="45" xfId="0" applyFont="1" applyBorder="1" applyAlignment="1">
      <alignment horizontal="left" vertical="center" wrapText="1"/>
    </xf>
    <xf numFmtId="42" fontId="4" fillId="10" borderId="28" xfId="0" applyNumberFormat="1" applyFont="1" applyFill="1" applyBorder="1" applyAlignment="1">
      <alignment horizontal="right" vertical="center" indent="5"/>
    </xf>
    <xf numFmtId="0" fontId="4" fillId="0" borderId="29" xfId="0" applyFont="1" applyBorder="1" applyAlignment="1">
      <alignment horizontal="left" vertical="center" wrapText="1"/>
    </xf>
    <xf numFmtId="0" fontId="2" fillId="0" borderId="25" xfId="0" applyFont="1" applyBorder="1" applyAlignment="1">
      <alignment vertical="center" wrapText="1"/>
    </xf>
    <xf numFmtId="0" fontId="26" fillId="0" borderId="25" xfId="0" applyFont="1" applyBorder="1" applyAlignment="1">
      <alignment vertical="center" wrapText="1"/>
    </xf>
    <xf numFmtId="0" fontId="2" fillId="0" borderId="24" xfId="0" applyFont="1" applyBorder="1" applyAlignment="1">
      <alignment vertical="center" wrapText="1"/>
    </xf>
    <xf numFmtId="0" fontId="27" fillId="0" borderId="32" xfId="0" applyFont="1" applyBorder="1" applyAlignment="1">
      <alignment vertical="center"/>
    </xf>
    <xf numFmtId="0" fontId="27" fillId="0" borderId="0" xfId="0" applyFont="1"/>
    <xf numFmtId="166" fontId="4" fillId="0" borderId="25" xfId="1" applyNumberFormat="1" applyFont="1" applyBorder="1" applyAlignment="1">
      <alignment horizontal="right"/>
    </xf>
    <xf numFmtId="0" fontId="7" fillId="0" borderId="0" xfId="0" applyFont="1" applyAlignment="1">
      <alignment horizontal="left"/>
    </xf>
    <xf numFmtId="0" fontId="28" fillId="0" borderId="0" xfId="4"/>
    <xf numFmtId="42" fontId="4" fillId="0" borderId="0" xfId="0" applyNumberFormat="1" applyFont="1"/>
    <xf numFmtId="42" fontId="3" fillId="11" borderId="0" xfId="0" applyNumberFormat="1" applyFont="1" applyFill="1"/>
    <xf numFmtId="0" fontId="2" fillId="0" borderId="33" xfId="0" applyFont="1" applyBorder="1"/>
    <xf numFmtId="166" fontId="2" fillId="7" borderId="38" xfId="0" applyNumberFormat="1" applyFont="1" applyFill="1" applyBorder="1" applyAlignment="1">
      <alignment horizontal="right" vertical="center"/>
    </xf>
    <xf numFmtId="166" fontId="2" fillId="7" borderId="38" xfId="0" applyNumberFormat="1" applyFont="1" applyFill="1" applyBorder="1" applyAlignment="1">
      <alignment vertical="center"/>
    </xf>
    <xf numFmtId="166" fontId="2" fillId="7" borderId="33" xfId="0" applyNumberFormat="1" applyFont="1" applyFill="1" applyBorder="1" applyAlignment="1">
      <alignment vertical="center"/>
    </xf>
    <xf numFmtId="0" fontId="2" fillId="7" borderId="39" xfId="0" applyFont="1" applyFill="1" applyBorder="1" applyAlignment="1">
      <alignment vertical="center"/>
    </xf>
    <xf numFmtId="0" fontId="2" fillId="7" borderId="35" xfId="0" applyFont="1" applyFill="1" applyBorder="1" applyAlignment="1">
      <alignment vertical="center"/>
    </xf>
    <xf numFmtId="167" fontId="2" fillId="7" borderId="38" xfId="0" applyNumberFormat="1" applyFont="1" applyFill="1" applyBorder="1" applyAlignment="1">
      <alignment vertical="center"/>
    </xf>
    <xf numFmtId="168" fontId="4" fillId="0" borderId="8" xfId="0" applyNumberFormat="1" applyFont="1" applyBorder="1" applyAlignment="1">
      <alignment horizontal="right"/>
    </xf>
    <xf numFmtId="168" fontId="4" fillId="0" borderId="4" xfId="0" applyNumberFormat="1" applyFont="1" applyBorder="1" applyAlignment="1">
      <alignment horizontal="right"/>
    </xf>
    <xf numFmtId="168" fontId="4" fillId="0" borderId="9" xfId="0" applyNumberFormat="1" applyFont="1" applyBorder="1" applyAlignment="1">
      <alignment horizontal="right"/>
    </xf>
    <xf numFmtId="168" fontId="4" fillId="0" borderId="3" xfId="0" applyNumberFormat="1" applyFont="1" applyBorder="1" applyAlignment="1">
      <alignment horizontal="right"/>
    </xf>
    <xf numFmtId="168" fontId="4" fillId="0" borderId="15" xfId="0" applyNumberFormat="1" applyFont="1" applyBorder="1" applyAlignment="1">
      <alignment horizontal="right"/>
    </xf>
    <xf numFmtId="168" fontId="4" fillId="0" borderId="0" xfId="0" applyNumberFormat="1" applyFont="1"/>
    <xf numFmtId="0" fontId="5" fillId="0" borderId="24" xfId="0" applyFont="1" applyBorder="1" applyAlignment="1">
      <alignment horizontal="left"/>
    </xf>
    <xf numFmtId="0" fontId="5" fillId="0" borderId="25" xfId="0" applyFont="1" applyBorder="1" applyAlignment="1">
      <alignment horizontal="left"/>
    </xf>
    <xf numFmtId="0" fontId="3" fillId="0" borderId="0" xfId="0" applyFont="1" applyAlignment="1">
      <alignment vertical="top" wrapText="1"/>
    </xf>
    <xf numFmtId="0" fontId="4" fillId="0" borderId="0" xfId="0" applyFont="1" applyAlignment="1">
      <alignment horizontal="center"/>
    </xf>
    <xf numFmtId="0" fontId="7" fillId="0" borderId="0" xfId="0" applyFont="1" applyAlignment="1">
      <alignment horizontal="center"/>
    </xf>
    <xf numFmtId="0" fontId="14" fillId="6" borderId="0" xfId="0" applyFont="1" applyFill="1" applyAlignment="1">
      <alignment horizontal="right"/>
    </xf>
    <xf numFmtId="0" fontId="4" fillId="0" borderId="27" xfId="0" applyFont="1" applyBorder="1"/>
    <xf numFmtId="0" fontId="4" fillId="0" borderId="28" xfId="0" applyFont="1" applyBorder="1"/>
    <xf numFmtId="2" fontId="5" fillId="0" borderId="24" xfId="0" applyNumberFormat="1" applyFont="1" applyBorder="1" applyAlignment="1">
      <alignment horizontal="left"/>
    </xf>
    <xf numFmtId="2" fontId="5" fillId="0" borderId="25" xfId="0" applyNumberFormat="1" applyFont="1" applyBorder="1" applyAlignment="1">
      <alignment horizontal="left"/>
    </xf>
    <xf numFmtId="0" fontId="2" fillId="0" borderId="27" xfId="0" applyFont="1" applyBorder="1"/>
    <xf numFmtId="0" fontId="2" fillId="0" borderId="28" xfId="0" applyFont="1" applyBorder="1"/>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left" vertical="center" wrapText="1"/>
    </xf>
    <xf numFmtId="166" fontId="2" fillId="7" borderId="49" xfId="0" applyNumberFormat="1" applyFont="1" applyFill="1" applyBorder="1" applyAlignment="1">
      <alignment horizontal="center" vertical="center"/>
    </xf>
    <xf numFmtId="166" fontId="2" fillId="7" borderId="50" xfId="0" applyNumberFormat="1" applyFont="1" applyFill="1" applyBorder="1" applyAlignment="1">
      <alignment horizontal="center" vertical="center"/>
    </xf>
    <xf numFmtId="166" fontId="2" fillId="7" borderId="51" xfId="0" applyNumberFormat="1" applyFont="1" applyFill="1" applyBorder="1" applyAlignment="1">
      <alignment horizontal="center" vertical="center"/>
    </xf>
    <xf numFmtId="166" fontId="2" fillId="7" borderId="52" xfId="0" applyNumberFormat="1" applyFont="1" applyFill="1" applyBorder="1" applyAlignment="1">
      <alignment horizontal="center" vertical="center"/>
    </xf>
    <xf numFmtId="166" fontId="2" fillId="7" borderId="53" xfId="0" applyNumberFormat="1" applyFont="1" applyFill="1" applyBorder="1" applyAlignment="1">
      <alignment horizontal="center" vertical="center"/>
    </xf>
    <xf numFmtId="166" fontId="2" fillId="7" borderId="54" xfId="0" applyNumberFormat="1" applyFont="1" applyFill="1" applyBorder="1" applyAlignment="1">
      <alignment horizontal="center" vertical="center"/>
    </xf>
    <xf numFmtId="0" fontId="2" fillId="7" borderId="52" xfId="0" applyFont="1" applyFill="1" applyBorder="1" applyAlignment="1">
      <alignment horizontal="center" vertical="center"/>
    </xf>
    <xf numFmtId="0" fontId="2" fillId="7" borderId="53" xfId="0" applyFont="1" applyFill="1" applyBorder="1" applyAlignment="1">
      <alignment horizontal="center" vertical="center"/>
    </xf>
    <xf numFmtId="0" fontId="2" fillId="7" borderId="54" xfId="0" applyFont="1" applyFill="1" applyBorder="1" applyAlignment="1">
      <alignment horizontal="center" vertical="center"/>
    </xf>
    <xf numFmtId="0" fontId="2" fillId="7" borderId="55" xfId="0" applyFont="1" applyFill="1" applyBorder="1" applyAlignment="1">
      <alignment horizontal="center" vertical="center"/>
    </xf>
    <xf numFmtId="0" fontId="2" fillId="7" borderId="56" xfId="0" applyFont="1" applyFill="1" applyBorder="1" applyAlignment="1">
      <alignment horizontal="center" vertical="center"/>
    </xf>
    <xf numFmtId="0" fontId="2" fillId="7" borderId="57" xfId="0" applyFont="1" applyFill="1" applyBorder="1" applyAlignment="1">
      <alignment horizontal="center" vertical="center"/>
    </xf>
    <xf numFmtId="0" fontId="4" fillId="9" borderId="46" xfId="0" applyFont="1" applyFill="1" applyBorder="1" applyAlignment="1">
      <alignment horizontal="center" vertical="center"/>
    </xf>
    <xf numFmtId="0" fontId="4" fillId="9" borderId="47" xfId="0" applyFont="1" applyFill="1" applyBorder="1" applyAlignment="1">
      <alignment horizontal="center" vertical="center"/>
    </xf>
    <xf numFmtId="0" fontId="4" fillId="9" borderId="48" xfId="0" applyFont="1" applyFill="1" applyBorder="1" applyAlignment="1">
      <alignment horizontal="center" vertical="center"/>
    </xf>
    <xf numFmtId="0" fontId="4" fillId="9" borderId="46" xfId="0" applyFont="1" applyFill="1" applyBorder="1" applyAlignment="1">
      <alignment horizontal="center" vertical="center" wrapText="1"/>
    </xf>
    <xf numFmtId="0" fontId="4" fillId="9" borderId="47" xfId="0" applyFont="1" applyFill="1" applyBorder="1" applyAlignment="1">
      <alignment horizontal="center" vertical="center" wrapText="1"/>
    </xf>
    <xf numFmtId="0" fontId="4" fillId="9" borderId="48" xfId="0" applyFont="1" applyFill="1" applyBorder="1" applyAlignment="1">
      <alignment horizontal="center" vertical="center" wrapText="1"/>
    </xf>
    <xf numFmtId="166" fontId="2" fillId="0" borderId="25" xfId="1" applyNumberFormat="1" applyFont="1" applyBorder="1" applyAlignment="1">
      <alignment horizontal="right"/>
    </xf>
    <xf numFmtId="44" fontId="2" fillId="0" borderId="4" xfId="1" applyFont="1" applyFill="1" applyBorder="1" applyAlignment="1" applyProtection="1">
      <alignment horizontal="right"/>
    </xf>
    <xf numFmtId="44" fontId="2" fillId="0" borderId="3" xfId="1" applyFont="1" applyFill="1" applyBorder="1" applyAlignment="1" applyProtection="1">
      <alignment horizontal="right"/>
    </xf>
  </cellXfs>
  <cellStyles count="5">
    <cellStyle name="Currency" xfId="1" builtinId="4"/>
    <cellStyle name="Hyperlink" xfId="4" builtinId="8"/>
    <cellStyle name="Normal" xfId="0" builtinId="0"/>
    <cellStyle name="Normal_TBL028" xfId="2" xr:uid="{00000000-0005-0000-0000-000002000000}"/>
    <cellStyle name="Style 117"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66675</xdr:colOff>
          <xdr:row>10</xdr:row>
          <xdr:rowOff>28575</xdr:rowOff>
        </xdr:from>
        <xdr:to>
          <xdr:col>1</xdr:col>
          <xdr:colOff>180975</xdr:colOff>
          <xdr:row>10</xdr:row>
          <xdr:rowOff>171450</xdr:rowOff>
        </xdr:to>
        <xdr:sp macro="" textlink="">
          <xdr:nvSpPr>
            <xdr:cNvPr id="3073" name="CheckBox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561975</xdr:colOff>
          <xdr:row>10</xdr:row>
          <xdr:rowOff>0</xdr:rowOff>
        </xdr:from>
        <xdr:to>
          <xdr:col>1</xdr:col>
          <xdr:colOff>1647825</xdr:colOff>
          <xdr:row>11</xdr:row>
          <xdr:rowOff>76200</xdr:rowOff>
        </xdr:to>
        <xdr:sp macro="" textlink="">
          <xdr:nvSpPr>
            <xdr:cNvPr id="3074" name="CheckBox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66675</xdr:colOff>
          <xdr:row>10</xdr:row>
          <xdr:rowOff>28575</xdr:rowOff>
        </xdr:from>
        <xdr:to>
          <xdr:col>1</xdr:col>
          <xdr:colOff>447675</xdr:colOff>
          <xdr:row>11</xdr:row>
          <xdr:rowOff>66675</xdr:rowOff>
        </xdr:to>
        <xdr:sp macro="" textlink="">
          <xdr:nvSpPr>
            <xdr:cNvPr id="2049" name="CheckBox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561975</xdr:colOff>
          <xdr:row>10</xdr:row>
          <xdr:rowOff>0</xdr:rowOff>
        </xdr:from>
        <xdr:to>
          <xdr:col>1</xdr:col>
          <xdr:colOff>1647825</xdr:colOff>
          <xdr:row>11</xdr:row>
          <xdr:rowOff>76200</xdr:rowOff>
        </xdr:to>
        <xdr:sp macro="" textlink="">
          <xdr:nvSpPr>
            <xdr:cNvPr id="2050" name="CheckBox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image" Target="../media/image4.emf"/><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ontrol" Target="../activeX/activeX4.xml"/><Relationship Id="rId5" Type="http://schemas.openxmlformats.org/officeDocument/2006/relationships/image" Target="../media/image3.emf"/><Relationship Id="rId4" Type="http://schemas.openxmlformats.org/officeDocument/2006/relationships/control" Target="../activeX/activeX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9"/>
  <sheetViews>
    <sheetView tabSelected="1" workbookViewId="0">
      <selection activeCell="F20" sqref="F20"/>
    </sheetView>
  </sheetViews>
  <sheetFormatPr defaultRowHeight="12.75" x14ac:dyDescent="0.2"/>
  <cols>
    <col min="2" max="2" width="73.83203125" customWidth="1"/>
    <col min="3" max="3" width="17.6640625" customWidth="1"/>
    <col min="8" max="8" width="10.1640625" bestFit="1" customWidth="1"/>
  </cols>
  <sheetData>
    <row r="1" spans="1:14" ht="15.75" x14ac:dyDescent="0.25">
      <c r="A1" s="59" t="s">
        <v>119</v>
      </c>
      <c r="B1" s="29"/>
      <c r="C1" s="84"/>
      <c r="D1" s="84"/>
      <c r="E1" s="84"/>
      <c r="F1" s="84"/>
      <c r="G1" s="84"/>
      <c r="H1" s="84"/>
      <c r="I1" s="84"/>
      <c r="J1" s="84"/>
      <c r="K1" s="84"/>
      <c r="L1" s="84"/>
      <c r="M1" s="84"/>
      <c r="N1" s="84"/>
    </row>
    <row r="2" spans="1:14" ht="15.75" x14ac:dyDescent="0.25">
      <c r="A2" s="11" t="s">
        <v>120</v>
      </c>
      <c r="B2" s="29"/>
      <c r="C2" s="84"/>
      <c r="D2" s="84"/>
      <c r="E2" s="84"/>
      <c r="F2" s="84"/>
      <c r="G2" s="84"/>
      <c r="H2" s="84"/>
      <c r="I2" s="84"/>
      <c r="J2" s="84"/>
      <c r="K2" s="84"/>
      <c r="L2" s="84"/>
      <c r="M2" s="84"/>
      <c r="N2" s="84"/>
    </row>
    <row r="3" spans="1:14" x14ac:dyDescent="0.2">
      <c r="A3" s="10" t="s">
        <v>298</v>
      </c>
      <c r="B3" s="10"/>
      <c r="D3" s="84"/>
      <c r="E3" s="84"/>
      <c r="F3" s="84"/>
      <c r="G3" s="84"/>
      <c r="H3" s="84"/>
      <c r="I3" s="84"/>
      <c r="J3" s="84"/>
      <c r="K3" s="84"/>
      <c r="L3" s="84"/>
      <c r="M3" s="84"/>
      <c r="N3" s="84"/>
    </row>
    <row r="4" spans="1:14" ht="12.75" customHeight="1" x14ac:dyDescent="0.2">
      <c r="A4" s="175" t="s">
        <v>290</v>
      </c>
      <c r="B4" s="175"/>
      <c r="C4" s="84"/>
      <c r="D4" s="84"/>
      <c r="E4" s="84"/>
      <c r="F4" s="84"/>
      <c r="G4" s="84"/>
      <c r="H4" s="84"/>
      <c r="I4" s="84"/>
      <c r="J4" s="84"/>
      <c r="K4" s="84"/>
      <c r="L4" s="84"/>
      <c r="M4" s="84"/>
      <c r="N4" s="84"/>
    </row>
    <row r="5" spans="1:14" ht="12.75" customHeight="1" x14ac:dyDescent="0.2">
      <c r="A5" s="175" t="s">
        <v>291</v>
      </c>
      <c r="B5" s="175"/>
      <c r="C5" s="84"/>
      <c r="D5" s="84"/>
      <c r="E5" s="84"/>
      <c r="F5" s="84"/>
      <c r="G5" s="84"/>
      <c r="H5" s="84"/>
      <c r="I5" s="84"/>
      <c r="J5" s="84"/>
      <c r="K5" s="84"/>
      <c r="L5" s="84"/>
      <c r="M5" s="84"/>
      <c r="N5" s="84"/>
    </row>
    <row r="6" spans="1:14" x14ac:dyDescent="0.2">
      <c r="A6" s="10" t="s">
        <v>295</v>
      </c>
      <c r="B6" s="10"/>
      <c r="C6" s="2"/>
      <c r="D6" s="84"/>
      <c r="E6" s="84"/>
      <c r="F6" s="84"/>
      <c r="G6" s="84"/>
      <c r="H6" s="84"/>
      <c r="I6" s="84"/>
      <c r="J6" s="84"/>
      <c r="K6" s="84"/>
      <c r="L6" s="84"/>
      <c r="M6" s="84"/>
      <c r="N6" s="84"/>
    </row>
    <row r="7" spans="1:14" x14ac:dyDescent="0.2">
      <c r="A7" s="10" t="s">
        <v>300</v>
      </c>
      <c r="B7" s="10"/>
      <c r="C7" s="2"/>
      <c r="D7" s="84"/>
      <c r="E7" s="84"/>
      <c r="F7" s="84"/>
      <c r="G7" s="84"/>
      <c r="H7" s="84"/>
      <c r="I7" s="84"/>
      <c r="J7" s="84"/>
      <c r="K7" s="84"/>
      <c r="L7" s="84"/>
      <c r="M7" s="84"/>
      <c r="N7" s="84"/>
    </row>
    <row r="8" spans="1:14" ht="12.75" customHeight="1" x14ac:dyDescent="0.2">
      <c r="A8" s="175" t="s">
        <v>296</v>
      </c>
      <c r="B8" s="175"/>
      <c r="C8" s="2"/>
    </row>
    <row r="9" spans="1:14" ht="12.75" customHeight="1" x14ac:dyDescent="0.2">
      <c r="A9" s="175" t="s">
        <v>276</v>
      </c>
      <c r="B9" s="175"/>
      <c r="C9" s="2"/>
    </row>
    <row r="10" spans="1:14" ht="12.75" customHeight="1" x14ac:dyDescent="0.2">
      <c r="A10" s="175" t="s">
        <v>299</v>
      </c>
      <c r="B10" s="175"/>
      <c r="C10" s="2"/>
    </row>
    <row r="11" spans="1:14" ht="15.75" x14ac:dyDescent="0.25">
      <c r="A11" s="177" t="s">
        <v>121</v>
      </c>
      <c r="B11" s="177"/>
      <c r="C11" s="2"/>
    </row>
    <row r="12" spans="1:14" x14ac:dyDescent="0.2">
      <c r="A12" s="2"/>
      <c r="B12" s="2"/>
      <c r="C12" s="2"/>
    </row>
    <row r="13" spans="1:14" x14ac:dyDescent="0.2">
      <c r="A13" s="2"/>
      <c r="B13" s="2"/>
      <c r="C13" s="2"/>
    </row>
    <row r="14" spans="1:14" x14ac:dyDescent="0.2">
      <c r="A14" s="2"/>
      <c r="B14" s="2"/>
      <c r="C14" s="2"/>
    </row>
    <row r="15" spans="1:14" x14ac:dyDescent="0.2">
      <c r="A15" s="2"/>
      <c r="B15" s="2"/>
      <c r="C15" s="2"/>
    </row>
    <row r="16" spans="1:14" ht="13.5" thickBot="1" x14ac:dyDescent="0.25">
      <c r="A16" s="176" t="s">
        <v>122</v>
      </c>
      <c r="B16" s="176"/>
      <c r="C16" s="2" t="s">
        <v>123</v>
      </c>
    </row>
    <row r="17" spans="1:3" x14ac:dyDescent="0.2">
      <c r="A17" s="76" t="s">
        <v>124</v>
      </c>
      <c r="B17" s="77" t="s">
        <v>125</v>
      </c>
      <c r="C17" s="125">
        <f>'Budget Detail'!X23</f>
        <v>0</v>
      </c>
    </row>
    <row r="18" spans="1:3" ht="100.35" customHeight="1" x14ac:dyDescent="0.2">
      <c r="A18" s="173"/>
      <c r="B18" s="174"/>
      <c r="C18" s="124"/>
    </row>
    <row r="19" spans="1:3" x14ac:dyDescent="0.2">
      <c r="A19" s="78" t="s">
        <v>126</v>
      </c>
      <c r="B19" s="79" t="s">
        <v>127</v>
      </c>
      <c r="C19" s="125">
        <f>'Budget Detail'!X38</f>
        <v>0</v>
      </c>
    </row>
    <row r="20" spans="1:3" ht="100.35" customHeight="1" x14ac:dyDescent="0.2">
      <c r="A20" s="173"/>
      <c r="B20" s="174"/>
      <c r="C20" s="124"/>
    </row>
    <row r="21" spans="1:3" x14ac:dyDescent="0.2">
      <c r="A21" s="78" t="s">
        <v>128</v>
      </c>
      <c r="B21" s="79" t="s">
        <v>129</v>
      </c>
      <c r="C21" s="125">
        <f>'Budget Detail'!X40</f>
        <v>0</v>
      </c>
    </row>
    <row r="22" spans="1:3" ht="100.35" customHeight="1" x14ac:dyDescent="0.2">
      <c r="A22" s="173"/>
      <c r="B22" s="174"/>
      <c r="C22" s="124"/>
    </row>
    <row r="23" spans="1:3" x14ac:dyDescent="0.2">
      <c r="A23" s="78" t="s">
        <v>130</v>
      </c>
      <c r="B23" s="80" t="s">
        <v>131</v>
      </c>
      <c r="C23" s="125">
        <f>'Budget Detail'!X43</f>
        <v>0</v>
      </c>
    </row>
    <row r="24" spans="1:3" ht="100.35" customHeight="1" x14ac:dyDescent="0.2">
      <c r="A24" s="173"/>
      <c r="B24" s="174"/>
      <c r="C24" s="124"/>
    </row>
    <row r="25" spans="1:3" x14ac:dyDescent="0.2">
      <c r="A25" s="78" t="s">
        <v>132</v>
      </c>
      <c r="B25" s="80" t="s">
        <v>133</v>
      </c>
      <c r="C25" s="125">
        <f>'Budget Detail'!X49</f>
        <v>0</v>
      </c>
    </row>
    <row r="26" spans="1:3" ht="100.35" customHeight="1" x14ac:dyDescent="0.2">
      <c r="A26" s="173"/>
      <c r="B26" s="174"/>
      <c r="C26" s="126">
        <f>'Budget Detail'!X56</f>
        <v>0</v>
      </c>
    </row>
    <row r="27" spans="1:3" x14ac:dyDescent="0.2">
      <c r="A27" s="78" t="s">
        <v>134</v>
      </c>
      <c r="B27" s="80" t="s">
        <v>135</v>
      </c>
      <c r="C27" s="127"/>
    </row>
    <row r="28" spans="1:3" ht="100.35" customHeight="1" x14ac:dyDescent="0.2">
      <c r="A28" s="173"/>
      <c r="B28" s="174"/>
      <c r="C28" s="124"/>
    </row>
    <row r="29" spans="1:3" x14ac:dyDescent="0.2">
      <c r="A29" s="78" t="s">
        <v>136</v>
      </c>
      <c r="B29" s="80" t="s">
        <v>137</v>
      </c>
      <c r="C29" s="125" t="e">
        <f>'Budget Detail'!X68</f>
        <v>#VALUE!</v>
      </c>
    </row>
    <row r="30" spans="1:3" ht="100.35" customHeight="1" x14ac:dyDescent="0.2">
      <c r="A30" s="173"/>
      <c r="B30" s="174"/>
      <c r="C30" s="124"/>
    </row>
    <row r="31" spans="1:3" x14ac:dyDescent="0.2">
      <c r="A31" s="78" t="s">
        <v>138</v>
      </c>
      <c r="B31" s="80" t="s">
        <v>139</v>
      </c>
      <c r="C31" s="125">
        <f>'Budget Detail'!X78</f>
        <v>0</v>
      </c>
    </row>
    <row r="32" spans="1:3" ht="100.35" customHeight="1" x14ac:dyDescent="0.2">
      <c r="A32" s="173"/>
      <c r="B32" s="174"/>
      <c r="C32" s="124"/>
    </row>
    <row r="33" spans="1:3" x14ac:dyDescent="0.2">
      <c r="A33" s="81" t="s">
        <v>140</v>
      </c>
      <c r="B33" s="79" t="s">
        <v>141</v>
      </c>
      <c r="C33" s="125">
        <f>'Budget Detail'!X85</f>
        <v>0</v>
      </c>
    </row>
    <row r="34" spans="1:3" ht="100.35" customHeight="1" x14ac:dyDescent="0.2">
      <c r="A34" s="181"/>
      <c r="B34" s="182"/>
      <c r="C34" s="124"/>
    </row>
    <row r="35" spans="1:3" x14ac:dyDescent="0.2">
      <c r="A35" s="82" t="s">
        <v>142</v>
      </c>
      <c r="B35" s="83" t="s">
        <v>143</v>
      </c>
      <c r="C35" s="125">
        <f>'Budget Detail'!X91</f>
        <v>0</v>
      </c>
    </row>
    <row r="36" spans="1:3" ht="100.35" customHeight="1" thickBot="1" x14ac:dyDescent="0.25">
      <c r="A36" s="179"/>
      <c r="B36" s="180"/>
      <c r="C36" s="128"/>
    </row>
    <row r="37" spans="1:3" ht="13.5" thickBot="1" x14ac:dyDescent="0.25">
      <c r="A37" s="82" t="s">
        <v>275</v>
      </c>
      <c r="B37" s="69" t="s">
        <v>268</v>
      </c>
      <c r="C37" s="125">
        <f>'WCI Budget Detail'!W22</f>
        <v>0</v>
      </c>
    </row>
    <row r="38" spans="1:3" ht="100.35" customHeight="1" thickBot="1" x14ac:dyDescent="0.25">
      <c r="A38" s="183" t="s">
        <v>303</v>
      </c>
      <c r="B38" s="184"/>
      <c r="C38" s="128"/>
    </row>
    <row r="39" spans="1:3" x14ac:dyDescent="0.2">
      <c r="A39" s="178" t="s">
        <v>144</v>
      </c>
      <c r="B39" s="178"/>
      <c r="C39" s="129" t="e">
        <f>'Budget Detail'!X93</f>
        <v>#VALUE!</v>
      </c>
    </row>
  </sheetData>
  <mergeCells count="19">
    <mergeCell ref="A28:B28"/>
    <mergeCell ref="A39:B39"/>
    <mergeCell ref="A36:B36"/>
    <mergeCell ref="A34:B34"/>
    <mergeCell ref="A32:B32"/>
    <mergeCell ref="A30:B30"/>
    <mergeCell ref="A38:B38"/>
    <mergeCell ref="A26:B26"/>
    <mergeCell ref="A8:B8"/>
    <mergeCell ref="A4:B4"/>
    <mergeCell ref="A10:B10"/>
    <mergeCell ref="A5:B5"/>
    <mergeCell ref="A9:B9"/>
    <mergeCell ref="A16:B16"/>
    <mergeCell ref="A11:B11"/>
    <mergeCell ref="A24:B24"/>
    <mergeCell ref="A18:B18"/>
    <mergeCell ref="A20:B20"/>
    <mergeCell ref="A22:B22"/>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C45BA-A436-465B-8F6B-314DE555CEC4}">
  <sheetPr codeName="Sheet3">
    <pageSetUpPr fitToPage="1"/>
  </sheetPr>
  <dimension ref="A1:Y51"/>
  <sheetViews>
    <sheetView zoomScaleNormal="100" workbookViewId="0">
      <pane xSplit="2" ySplit="14" topLeftCell="C15" activePane="bottomRight" state="frozen"/>
      <selection pane="topRight" activeCell="C1" sqref="C1"/>
      <selection pane="bottomLeft" activeCell="A11" sqref="A11"/>
      <selection pane="bottomRight" activeCell="Q36" sqref="Q36"/>
    </sheetView>
  </sheetViews>
  <sheetFormatPr defaultColWidth="9.33203125" defaultRowHeight="12.75" x14ac:dyDescent="0.2"/>
  <cols>
    <col min="1" max="1" width="5.33203125" style="2" customWidth="1"/>
    <col min="2" max="2" width="55.33203125" style="1" customWidth="1"/>
    <col min="3" max="16" width="12.83203125" style="13" customWidth="1"/>
    <col min="17" max="17" width="9" style="13" bestFit="1" customWidth="1"/>
    <col min="18" max="18" width="11.6640625" style="13" bestFit="1" customWidth="1"/>
    <col min="19" max="19" width="11" style="18" bestFit="1" customWidth="1"/>
    <col min="20" max="20" width="12" style="18" customWidth="1"/>
    <col min="21" max="21" width="10.33203125" style="18" customWidth="1"/>
    <col min="22" max="22" width="12" style="18" bestFit="1" customWidth="1"/>
    <col min="23" max="23" width="14.33203125" style="17" customWidth="1"/>
    <col min="24" max="24" width="14.1640625" style="2" customWidth="1"/>
    <col min="25" max="25" width="10.6640625" style="18" bestFit="1" customWidth="1"/>
    <col min="26" max="16384" width="9.33203125" style="2"/>
  </cols>
  <sheetData>
    <row r="1" spans="1:25" ht="15.75" x14ac:dyDescent="0.25">
      <c r="A1" s="59" t="s">
        <v>119</v>
      </c>
      <c r="B1" s="29"/>
    </row>
    <row r="2" spans="1:25" ht="15.75" x14ac:dyDescent="0.25">
      <c r="A2" s="11" t="s">
        <v>146</v>
      </c>
      <c r="B2" s="29"/>
    </row>
    <row r="3" spans="1:25" ht="15.75" x14ac:dyDescent="0.25">
      <c r="A3" s="185" t="str">
        <f>'Scope Overview'!A3</f>
        <v>Project Name: [project name]</v>
      </c>
      <c r="B3" s="185"/>
      <c r="C3" s="2"/>
      <c r="D3" s="11"/>
      <c r="E3" s="11"/>
      <c r="F3" s="11"/>
      <c r="G3" s="11"/>
      <c r="H3" s="11"/>
      <c r="I3" s="11"/>
      <c r="J3" s="11"/>
      <c r="K3" s="11"/>
      <c r="L3" s="11"/>
      <c r="M3" s="11"/>
      <c r="N3" s="11"/>
      <c r="O3" s="11"/>
      <c r="P3" s="11"/>
      <c r="Q3" s="11"/>
      <c r="R3" s="11"/>
      <c r="S3" s="11"/>
      <c r="T3" s="11"/>
      <c r="U3" s="11"/>
      <c r="V3" s="11"/>
      <c r="W3" s="11"/>
    </row>
    <row r="4" spans="1:25" s="30" customFormat="1" ht="12.75" customHeight="1" x14ac:dyDescent="0.2">
      <c r="A4" s="185" t="str">
        <f>'Scope Overview'!A4</f>
        <v>Contractor Name: Terraphase Engineering, Inc.</v>
      </c>
      <c r="B4" s="185"/>
      <c r="C4" s="2"/>
      <c r="D4" s="10"/>
      <c r="E4" s="10"/>
      <c r="F4" s="10"/>
      <c r="G4" s="10"/>
      <c r="H4" s="10"/>
      <c r="I4" s="10"/>
      <c r="J4" s="10"/>
      <c r="K4" s="10"/>
      <c r="L4" s="10"/>
      <c r="M4" s="10"/>
      <c r="N4" s="10"/>
      <c r="O4" s="10"/>
      <c r="P4" s="10"/>
      <c r="Q4" s="10"/>
      <c r="R4" s="10"/>
      <c r="S4" s="10"/>
      <c r="T4" s="10"/>
      <c r="U4" s="10"/>
      <c r="V4" s="10"/>
      <c r="W4" s="10"/>
      <c r="Y4" s="31"/>
    </row>
    <row r="5" spans="1:25" s="10" customFormat="1" ht="12.75" customHeight="1" x14ac:dyDescent="0.2">
      <c r="A5" s="185" t="str">
        <f>'Scope Overview'!A5</f>
        <v>Contractor Project Manager: Ryan Thompson</v>
      </c>
      <c r="B5" s="185"/>
      <c r="C5" s="2"/>
      <c r="D5" s="30"/>
      <c r="E5" s="30"/>
      <c r="F5" s="30"/>
      <c r="G5" s="30"/>
      <c r="H5" s="30"/>
      <c r="I5" s="30"/>
      <c r="J5" s="30"/>
      <c r="K5" s="30"/>
      <c r="L5" s="30"/>
      <c r="Q5" s="30"/>
      <c r="R5" s="30"/>
      <c r="S5" s="30"/>
      <c r="T5" s="30"/>
      <c r="U5" s="30"/>
      <c r="V5" s="30"/>
      <c r="W5" s="30"/>
      <c r="Y5" s="32"/>
    </row>
    <row r="6" spans="1:25" s="30" customFormat="1" ht="12.75" customHeight="1" x14ac:dyDescent="0.2">
      <c r="A6" s="185" t="str">
        <f>'Scope Overview'!A6</f>
        <v xml:space="preserve">Purchase Requsition Number: </v>
      </c>
      <c r="B6" s="185"/>
      <c r="C6" s="2"/>
      <c r="D6" s="10"/>
      <c r="E6" s="10"/>
      <c r="F6" s="10"/>
      <c r="G6" s="10"/>
      <c r="H6" s="10"/>
      <c r="I6" s="10"/>
      <c r="J6" s="10"/>
      <c r="K6" s="10"/>
      <c r="L6" s="10"/>
      <c r="M6" s="10"/>
      <c r="N6" s="10"/>
      <c r="O6" s="10"/>
      <c r="P6" s="10"/>
      <c r="Q6" s="10"/>
      <c r="R6" s="10"/>
      <c r="S6" s="10"/>
      <c r="T6" s="10"/>
      <c r="U6" s="10"/>
      <c r="V6" s="10"/>
      <c r="W6" s="10"/>
      <c r="Y6" s="31"/>
    </row>
    <row r="7" spans="1:25" s="30" customFormat="1" x14ac:dyDescent="0.2">
      <c r="A7" s="185" t="str">
        <f>'Scope Overview'!A7</f>
        <v>Release PO#  [SAP]</v>
      </c>
      <c r="B7" s="185"/>
      <c r="C7" s="2"/>
      <c r="D7" s="10"/>
      <c r="E7" s="10"/>
      <c r="F7" s="10"/>
      <c r="G7" s="10"/>
      <c r="H7" s="10"/>
      <c r="I7" s="10"/>
      <c r="J7" s="10"/>
      <c r="K7" s="10"/>
      <c r="L7" s="10"/>
      <c r="M7" s="10"/>
      <c r="N7" s="10"/>
      <c r="O7" s="10"/>
      <c r="P7" s="10"/>
      <c r="Q7" s="10"/>
      <c r="R7" s="10"/>
      <c r="S7" s="10"/>
      <c r="T7" s="10"/>
      <c r="U7" s="10"/>
      <c r="V7" s="10"/>
      <c r="W7" s="10"/>
      <c r="Y7" s="31"/>
    </row>
    <row r="8" spans="1:25" s="30" customFormat="1" ht="12.75" customHeight="1" x14ac:dyDescent="0.2">
      <c r="A8" s="185" t="str">
        <f>'Scope Overview'!A8</f>
        <v>Period of Performance: October-November 2026</v>
      </c>
      <c r="B8" s="185"/>
      <c r="C8" s="2"/>
      <c r="D8" s="10"/>
      <c r="E8" s="10"/>
      <c r="F8" s="10"/>
      <c r="G8" s="10"/>
      <c r="H8" s="10"/>
      <c r="I8" s="10"/>
      <c r="J8" s="10"/>
      <c r="K8" s="10"/>
      <c r="L8" s="10"/>
      <c r="M8" s="10"/>
      <c r="N8" s="10"/>
      <c r="O8" s="10"/>
      <c r="P8" s="10"/>
      <c r="Q8" s="10"/>
      <c r="R8" s="10"/>
      <c r="S8" s="10"/>
      <c r="T8" s="10"/>
      <c r="U8" s="10"/>
      <c r="V8" s="10"/>
      <c r="W8" s="10"/>
      <c r="Y8" s="31"/>
    </row>
    <row r="9" spans="1:25" s="30" customFormat="1" ht="12.75" customHeight="1" x14ac:dyDescent="0.2">
      <c r="A9" s="185" t="str">
        <f>'Scope Overview'!A9</f>
        <v>SCE Environmental Section: Remediation</v>
      </c>
      <c r="B9" s="185"/>
      <c r="C9" s="2"/>
      <c r="D9" s="10"/>
      <c r="E9" s="10"/>
      <c r="F9" s="10"/>
      <c r="G9" s="10"/>
      <c r="H9" s="10"/>
      <c r="I9" s="10"/>
      <c r="J9" s="10"/>
      <c r="K9" s="10"/>
      <c r="L9" s="10"/>
      <c r="M9" s="10"/>
      <c r="N9" s="10"/>
      <c r="O9" s="10"/>
      <c r="P9" s="10"/>
      <c r="Q9" s="10"/>
      <c r="R9" s="10"/>
      <c r="S9" s="10"/>
      <c r="T9" s="10"/>
      <c r="U9" s="10"/>
      <c r="V9" s="10"/>
      <c r="W9" s="10"/>
      <c r="Y9" s="31"/>
    </row>
    <row r="10" spans="1:25" s="30" customFormat="1" ht="12.75" customHeight="1" x14ac:dyDescent="0.2">
      <c r="A10" s="185" t="str">
        <f>'Scope Overview'!A10</f>
        <v>SCE Project Manager: [WCI PM]</v>
      </c>
      <c r="B10" s="185"/>
      <c r="C10" s="2"/>
      <c r="D10" s="10"/>
      <c r="E10" s="10"/>
      <c r="F10" s="10"/>
      <c r="G10" s="10"/>
      <c r="H10" s="10"/>
      <c r="I10" s="10"/>
      <c r="J10" s="10"/>
      <c r="K10" s="10"/>
      <c r="L10" s="10"/>
      <c r="M10" s="10"/>
      <c r="N10" s="10"/>
      <c r="O10" s="10"/>
      <c r="P10" s="10"/>
      <c r="Q10" s="10"/>
      <c r="R10" s="10"/>
      <c r="S10" s="10"/>
      <c r="T10" s="10"/>
      <c r="U10" s="10"/>
      <c r="V10" s="10"/>
      <c r="W10" s="10"/>
      <c r="Y10" s="31"/>
    </row>
    <row r="11" spans="1:25" ht="15.75" x14ac:dyDescent="0.25">
      <c r="A11" s="156"/>
      <c r="B11" s="4"/>
      <c r="C11" s="92" t="s">
        <v>147</v>
      </c>
      <c r="D11" s="12"/>
      <c r="E11" s="12"/>
      <c r="F11" s="12"/>
      <c r="G11" s="12"/>
      <c r="H11" s="12"/>
      <c r="I11" s="12"/>
      <c r="J11" s="12"/>
      <c r="K11" s="12"/>
      <c r="L11" s="12"/>
      <c r="M11" s="12"/>
      <c r="N11" s="12"/>
      <c r="O11" s="12"/>
      <c r="P11" s="12"/>
      <c r="Q11" s="12"/>
      <c r="R11" s="12"/>
      <c r="S11" s="20"/>
      <c r="T11" s="20"/>
      <c r="U11" s="20"/>
      <c r="V11" s="20"/>
      <c r="W11" s="20"/>
    </row>
    <row r="12" spans="1:25" s="1" customFormat="1" x14ac:dyDescent="0.2">
      <c r="B12" s="157"/>
      <c r="C12" s="55"/>
      <c r="D12" s="51"/>
      <c r="E12" s="51"/>
      <c r="F12" s="51"/>
      <c r="G12" s="51"/>
      <c r="H12" s="51"/>
      <c r="I12" s="51"/>
      <c r="J12" s="51"/>
      <c r="K12" s="51"/>
      <c r="L12" s="51"/>
      <c r="M12" s="51"/>
      <c r="N12" s="51"/>
      <c r="O12" s="51"/>
      <c r="P12" s="51"/>
      <c r="Q12" s="51"/>
      <c r="R12" s="51"/>
      <c r="S12" s="52"/>
      <c r="T12" s="52"/>
      <c r="U12" s="52"/>
      <c r="V12" s="52"/>
      <c r="W12" s="54"/>
      <c r="Y12" s="19"/>
    </row>
    <row r="13" spans="1:25" s="3" customFormat="1" ht="24.75" customHeight="1" x14ac:dyDescent="0.2">
      <c r="B13" s="25" t="s">
        <v>148</v>
      </c>
      <c r="C13" s="91" t="s">
        <v>3</v>
      </c>
      <c r="D13" s="49" t="s">
        <v>4</v>
      </c>
      <c r="E13" s="90" t="s">
        <v>149</v>
      </c>
      <c r="F13" s="90" t="s">
        <v>150</v>
      </c>
      <c r="G13" s="90" t="s">
        <v>6</v>
      </c>
      <c r="H13" s="90" t="s">
        <v>151</v>
      </c>
      <c r="I13" s="90" t="s">
        <v>8</v>
      </c>
      <c r="J13" s="90" t="s">
        <v>9</v>
      </c>
      <c r="K13" s="90" t="s">
        <v>10</v>
      </c>
      <c r="L13" s="49" t="s">
        <v>82</v>
      </c>
      <c r="M13" s="90" t="s">
        <v>12</v>
      </c>
      <c r="N13" s="90" t="s">
        <v>152</v>
      </c>
      <c r="O13" s="49" t="s">
        <v>86</v>
      </c>
      <c r="P13" s="49" t="s">
        <v>153</v>
      </c>
      <c r="Q13" s="49" t="s">
        <v>154</v>
      </c>
      <c r="R13" s="90" t="s">
        <v>155</v>
      </c>
      <c r="S13" s="50" t="s">
        <v>156</v>
      </c>
      <c r="T13" s="50" t="s">
        <v>157</v>
      </c>
      <c r="U13" s="89" t="s">
        <v>158</v>
      </c>
      <c r="V13" s="89" t="s">
        <v>159</v>
      </c>
      <c r="W13" s="53" t="s">
        <v>144</v>
      </c>
      <c r="Y13" s="23"/>
    </row>
    <row r="14" spans="1:25" s="17" customFormat="1" x14ac:dyDescent="0.2">
      <c r="A14" s="15"/>
      <c r="B14" s="26"/>
      <c r="C14" s="57">
        <f>'Contractor Rates'!C4</f>
        <v>279</v>
      </c>
      <c r="D14" s="57">
        <f>'Contractor Rates'!C5</f>
        <v>272</v>
      </c>
      <c r="E14" s="57">
        <f>'Contractor Rates'!C6</f>
        <v>254</v>
      </c>
      <c r="F14" s="57">
        <f>'Contractor Rates'!C7</f>
        <v>237</v>
      </c>
      <c r="G14" s="57">
        <f>'Contractor Rates'!C8</f>
        <v>214</v>
      </c>
      <c r="H14" s="57">
        <f>'Contractor Rates'!C9</f>
        <v>198</v>
      </c>
      <c r="I14" s="57">
        <f>'Contractor Rates'!C10</f>
        <v>182</v>
      </c>
      <c r="J14" s="57">
        <f>'Contractor Rates'!C11</f>
        <v>165</v>
      </c>
      <c r="K14" s="57">
        <f>'Contractor Rates'!C12</f>
        <v>142</v>
      </c>
      <c r="L14" s="57">
        <f>'Contractor Rates'!C13</f>
        <v>132</v>
      </c>
      <c r="M14" s="57">
        <f>'Contractor Rates'!C14</f>
        <v>128</v>
      </c>
      <c r="N14" s="57">
        <f>'Contractor Rates'!C15</f>
        <v>138</v>
      </c>
      <c r="O14" s="57">
        <f>'Contractor Rates'!C16</f>
        <v>105</v>
      </c>
      <c r="P14" s="57">
        <f>'Contractor Rates'!C17</f>
        <v>85</v>
      </c>
      <c r="Q14" s="57">
        <v>0</v>
      </c>
      <c r="R14" s="57">
        <v>138</v>
      </c>
      <c r="S14" s="206" t="s">
        <v>301</v>
      </c>
      <c r="T14" s="16"/>
      <c r="U14" s="16"/>
      <c r="V14" s="16"/>
      <c r="W14" s="16"/>
    </row>
    <row r="15" spans="1:25" s="18" customFormat="1" ht="11.25" customHeight="1" thickBot="1" x14ac:dyDescent="0.25">
      <c r="A15" s="70" t="s">
        <v>267</v>
      </c>
      <c r="B15" s="69" t="s">
        <v>268</v>
      </c>
      <c r="C15" s="66"/>
      <c r="D15" s="66"/>
      <c r="E15" s="66"/>
      <c r="F15" s="66"/>
      <c r="G15" s="66"/>
      <c r="H15" s="66"/>
      <c r="I15" s="66"/>
      <c r="J15" s="66"/>
      <c r="K15" s="66"/>
      <c r="L15" s="66"/>
      <c r="M15" s="66"/>
      <c r="N15" s="66"/>
      <c r="O15" s="66"/>
      <c r="P15" s="66"/>
      <c r="Q15" s="66"/>
      <c r="R15" s="66"/>
      <c r="S15" s="75"/>
      <c r="T15" s="75"/>
      <c r="U15" s="75"/>
      <c r="V15" s="75"/>
      <c r="W15" s="96"/>
      <c r="X15" s="2"/>
    </row>
    <row r="16" spans="1:25" s="18" customFormat="1" ht="12" customHeight="1" x14ac:dyDescent="0.2">
      <c r="A16" s="3" t="s">
        <v>269</v>
      </c>
      <c r="B16" s="130" t="s">
        <v>187</v>
      </c>
      <c r="C16" s="167"/>
      <c r="D16" s="168"/>
      <c r="E16" s="168"/>
      <c r="F16" s="168"/>
      <c r="G16" s="168"/>
      <c r="H16" s="168"/>
      <c r="I16" s="168"/>
      <c r="J16" s="168"/>
      <c r="K16" s="168"/>
      <c r="L16" s="168"/>
      <c r="M16" s="168"/>
      <c r="N16" s="168"/>
      <c r="O16" s="168"/>
      <c r="P16" s="168"/>
      <c r="Q16" s="167"/>
      <c r="R16" s="168"/>
      <c r="S16" s="207" t="s">
        <v>302</v>
      </c>
      <c r="T16" s="36">
        <v>0</v>
      </c>
      <c r="U16" s="36">
        <v>0</v>
      </c>
      <c r="V16" s="36">
        <v>0</v>
      </c>
      <c r="W16" s="37" t="e">
        <f t="shared" ref="W16:W21" si="0">C16*C$14+D16*D$14+E16*E$14+F16*F$14+G16*G$14+H16*H$14+I16*I$14+J16*J$14+K16*K$14++L16*L$14++M16*M$14+N16*N$14+O16*O$14+P16*P$14+Q16*Q$14+R16*R$14+S16+T16+U16+V16</f>
        <v>#VALUE!</v>
      </c>
      <c r="X16" s="2"/>
    </row>
    <row r="17" spans="1:23" ht="12" hidden="1" customHeight="1" x14ac:dyDescent="0.2">
      <c r="A17" s="3" t="s">
        <v>188</v>
      </c>
      <c r="B17" s="130" t="s">
        <v>175</v>
      </c>
      <c r="C17" s="169"/>
      <c r="D17" s="170"/>
      <c r="E17" s="170"/>
      <c r="F17" s="170"/>
      <c r="G17" s="170"/>
      <c r="H17" s="170"/>
      <c r="I17" s="170"/>
      <c r="J17" s="170"/>
      <c r="K17" s="170"/>
      <c r="L17" s="170"/>
      <c r="M17" s="170"/>
      <c r="N17" s="170"/>
      <c r="O17" s="170"/>
      <c r="P17" s="170"/>
      <c r="Q17" s="169"/>
      <c r="R17" s="170"/>
      <c r="S17" s="36">
        <v>0</v>
      </c>
      <c r="T17" s="36">
        <v>0</v>
      </c>
      <c r="U17" s="36">
        <v>0</v>
      </c>
      <c r="V17" s="36">
        <v>0</v>
      </c>
      <c r="W17" s="37">
        <f t="shared" si="0"/>
        <v>0</v>
      </c>
    </row>
    <row r="18" spans="1:23" ht="12" customHeight="1" x14ac:dyDescent="0.2">
      <c r="A18" s="3" t="s">
        <v>270</v>
      </c>
      <c r="B18" s="130" t="s">
        <v>190</v>
      </c>
      <c r="C18" s="169"/>
      <c r="D18" s="170"/>
      <c r="E18" s="170"/>
      <c r="F18" s="170"/>
      <c r="G18" s="170"/>
      <c r="H18" s="170"/>
      <c r="I18" s="170"/>
      <c r="J18" s="170"/>
      <c r="K18" s="170"/>
      <c r="L18" s="170"/>
      <c r="M18" s="170"/>
      <c r="N18" s="170"/>
      <c r="O18" s="170"/>
      <c r="P18" s="170"/>
      <c r="Q18" s="169"/>
      <c r="R18" s="170"/>
      <c r="S18" s="36">
        <v>0</v>
      </c>
      <c r="T18" s="36">
        <v>0</v>
      </c>
      <c r="U18" s="36">
        <v>0</v>
      </c>
      <c r="V18" s="36">
        <v>0</v>
      </c>
      <c r="W18" s="37">
        <f t="shared" si="0"/>
        <v>0</v>
      </c>
    </row>
    <row r="19" spans="1:23" ht="12" hidden="1" customHeight="1" x14ac:dyDescent="0.2">
      <c r="A19" s="3" t="s">
        <v>191</v>
      </c>
      <c r="B19" s="130" t="s">
        <v>183</v>
      </c>
      <c r="C19" s="169"/>
      <c r="D19" s="170"/>
      <c r="E19" s="170"/>
      <c r="F19" s="170"/>
      <c r="G19" s="170"/>
      <c r="H19" s="170"/>
      <c r="I19" s="170"/>
      <c r="J19" s="170"/>
      <c r="K19" s="170"/>
      <c r="L19" s="170"/>
      <c r="M19" s="170"/>
      <c r="N19" s="170"/>
      <c r="O19" s="170"/>
      <c r="P19" s="170"/>
      <c r="Q19" s="169"/>
      <c r="R19" s="170"/>
      <c r="S19" s="36">
        <v>0</v>
      </c>
      <c r="T19" s="36">
        <v>0</v>
      </c>
      <c r="U19" s="36">
        <v>0</v>
      </c>
      <c r="V19" s="36">
        <v>0</v>
      </c>
      <c r="W19" s="37">
        <f t="shared" si="0"/>
        <v>0</v>
      </c>
    </row>
    <row r="20" spans="1:23" ht="12" customHeight="1" x14ac:dyDescent="0.2">
      <c r="A20" s="3" t="s">
        <v>271</v>
      </c>
      <c r="B20" s="130" t="s">
        <v>168</v>
      </c>
      <c r="C20" s="171"/>
      <c r="D20" s="171"/>
      <c r="E20" s="171"/>
      <c r="F20" s="171"/>
      <c r="G20" s="171"/>
      <c r="H20" s="171"/>
      <c r="I20" s="171"/>
      <c r="J20" s="171"/>
      <c r="K20" s="171"/>
      <c r="L20" s="171"/>
      <c r="M20" s="171"/>
      <c r="N20" s="171"/>
      <c r="O20" s="171"/>
      <c r="P20" s="170"/>
      <c r="Q20" s="169"/>
      <c r="R20" s="170"/>
      <c r="S20" s="36">
        <v>0</v>
      </c>
      <c r="T20" s="36">
        <v>0</v>
      </c>
      <c r="U20" s="36">
        <v>0</v>
      </c>
      <c r="V20" s="36">
        <v>0</v>
      </c>
      <c r="W20" s="37">
        <f t="shared" si="0"/>
        <v>0</v>
      </c>
    </row>
    <row r="21" spans="1:23" ht="12" customHeight="1" x14ac:dyDescent="0.2">
      <c r="A21" s="3" t="s">
        <v>272</v>
      </c>
      <c r="B21" s="130" t="s">
        <v>273</v>
      </c>
      <c r="C21" s="171"/>
      <c r="D21" s="171"/>
      <c r="E21" s="171"/>
      <c r="F21" s="171"/>
      <c r="G21" s="171"/>
      <c r="H21" s="171"/>
      <c r="I21" s="171"/>
      <c r="J21" s="171"/>
      <c r="K21" s="171"/>
      <c r="L21" s="171"/>
      <c r="M21" s="171"/>
      <c r="N21" s="171"/>
      <c r="O21" s="171"/>
      <c r="P21" s="171"/>
      <c r="Q21" s="171"/>
      <c r="R21" s="171"/>
      <c r="S21" s="36">
        <v>0</v>
      </c>
      <c r="T21" s="36">
        <v>0</v>
      </c>
      <c r="U21" s="36">
        <v>0</v>
      </c>
      <c r="V21" s="36">
        <v>0</v>
      </c>
      <c r="W21" s="37">
        <f t="shared" si="0"/>
        <v>0</v>
      </c>
    </row>
    <row r="22" spans="1:23" s="17" customFormat="1" ht="12" customHeight="1" x14ac:dyDescent="0.2">
      <c r="A22" s="60" t="s">
        <v>267</v>
      </c>
      <c r="B22" s="61" t="s">
        <v>274</v>
      </c>
      <c r="C22" s="64">
        <f t="shared" ref="C22:R22" si="1">SUBTOTAL(9,C16:C21)*C14</f>
        <v>0</v>
      </c>
      <c r="D22" s="64">
        <f t="shared" si="1"/>
        <v>0</v>
      </c>
      <c r="E22" s="64">
        <f t="shared" si="1"/>
        <v>0</v>
      </c>
      <c r="F22" s="64">
        <f t="shared" si="1"/>
        <v>0</v>
      </c>
      <c r="G22" s="64">
        <f t="shared" si="1"/>
        <v>0</v>
      </c>
      <c r="H22" s="64">
        <f t="shared" si="1"/>
        <v>0</v>
      </c>
      <c r="I22" s="64">
        <f t="shared" si="1"/>
        <v>0</v>
      </c>
      <c r="J22" s="64">
        <f t="shared" si="1"/>
        <v>0</v>
      </c>
      <c r="K22" s="64">
        <f t="shared" si="1"/>
        <v>0</v>
      </c>
      <c r="L22" s="64">
        <f t="shared" si="1"/>
        <v>0</v>
      </c>
      <c r="M22" s="64">
        <f t="shared" si="1"/>
        <v>0</v>
      </c>
      <c r="N22" s="64">
        <f t="shared" si="1"/>
        <v>0</v>
      </c>
      <c r="O22" s="64">
        <f t="shared" si="1"/>
        <v>0</v>
      </c>
      <c r="P22" s="64">
        <f t="shared" si="1"/>
        <v>0</v>
      </c>
      <c r="Q22" s="64">
        <f t="shared" si="1"/>
        <v>0</v>
      </c>
      <c r="R22" s="64">
        <f t="shared" si="1"/>
        <v>0</v>
      </c>
      <c r="S22" s="64">
        <f>SUBTOTAL(9,S16:S21)</f>
        <v>0</v>
      </c>
      <c r="T22" s="64">
        <f t="shared" ref="T22:V22" si="2">SUBTOTAL(9,T16:T19)</f>
        <v>0</v>
      </c>
      <c r="U22" s="64">
        <f t="shared" si="2"/>
        <v>0</v>
      </c>
      <c r="V22" s="64">
        <f t="shared" si="2"/>
        <v>0</v>
      </c>
      <c r="W22" s="65">
        <f>SUM(C22:V22)</f>
        <v>0</v>
      </c>
    </row>
    <row r="23" spans="1:23" x14ac:dyDescent="0.2">
      <c r="B23" s="27"/>
      <c r="C23" s="14"/>
      <c r="D23" s="14"/>
      <c r="E23" s="14"/>
      <c r="F23" s="14"/>
      <c r="G23" s="14"/>
      <c r="H23" s="14"/>
      <c r="I23" s="14"/>
      <c r="J23" s="14"/>
      <c r="K23" s="14"/>
      <c r="L23" s="14"/>
      <c r="M23" s="14"/>
      <c r="N23" s="14"/>
      <c r="O23" s="14"/>
      <c r="P23" s="14"/>
      <c r="Q23" s="14"/>
      <c r="R23" s="14"/>
      <c r="S23" s="22"/>
      <c r="T23" s="22"/>
      <c r="U23" s="22"/>
      <c r="V23" s="22"/>
      <c r="W23" s="16"/>
    </row>
    <row r="24" spans="1:23" x14ac:dyDescent="0.2">
      <c r="C24" s="14"/>
      <c r="D24" s="14"/>
      <c r="E24" s="14"/>
      <c r="F24" s="14"/>
      <c r="G24" s="14"/>
      <c r="H24" s="14"/>
      <c r="I24" s="14"/>
      <c r="J24" s="14"/>
      <c r="K24" s="14"/>
      <c r="L24" s="14"/>
      <c r="M24" s="14"/>
      <c r="N24" s="14"/>
      <c r="O24" s="14"/>
      <c r="P24" s="14"/>
      <c r="Q24" s="14"/>
      <c r="R24" s="14"/>
      <c r="S24" s="22"/>
      <c r="T24" s="22"/>
      <c r="U24" s="22"/>
      <c r="V24" s="22"/>
      <c r="W24" s="16"/>
    </row>
    <row r="25" spans="1:23" x14ac:dyDescent="0.2">
      <c r="C25" s="14"/>
      <c r="D25" s="14"/>
      <c r="E25" s="14"/>
      <c r="F25" s="14"/>
      <c r="G25" s="14"/>
      <c r="H25" s="14"/>
      <c r="I25" s="14"/>
      <c r="J25" s="14"/>
      <c r="K25" s="14"/>
      <c r="L25" s="14"/>
      <c r="M25" s="14"/>
      <c r="N25" s="14"/>
      <c r="O25" s="14"/>
      <c r="P25" s="14"/>
      <c r="Q25" s="14"/>
      <c r="R25" s="14"/>
      <c r="S25" s="22"/>
      <c r="T25" s="22"/>
      <c r="U25" s="22"/>
      <c r="V25" s="22"/>
      <c r="W25" s="16"/>
    </row>
    <row r="26" spans="1:23" x14ac:dyDescent="0.2">
      <c r="C26" s="14"/>
      <c r="D26" s="14"/>
      <c r="E26" s="14"/>
      <c r="F26" s="14"/>
      <c r="G26" s="14"/>
      <c r="H26" s="14"/>
      <c r="I26" s="14"/>
      <c r="J26" s="14"/>
      <c r="K26" s="14"/>
      <c r="L26" s="14"/>
      <c r="M26" s="14"/>
      <c r="N26" s="14"/>
      <c r="O26" s="14"/>
      <c r="P26" s="14"/>
      <c r="Q26" s="14"/>
      <c r="R26" s="14"/>
      <c r="S26" s="22"/>
      <c r="T26" s="22"/>
      <c r="U26" s="22"/>
      <c r="V26" s="22"/>
      <c r="W26" s="16"/>
    </row>
    <row r="27" spans="1:23" x14ac:dyDescent="0.2">
      <c r="C27" s="14"/>
      <c r="D27" s="14"/>
      <c r="E27" s="14"/>
      <c r="F27" s="14"/>
      <c r="G27" s="14"/>
      <c r="H27" s="14"/>
      <c r="I27" s="14"/>
      <c r="J27" s="14"/>
      <c r="K27" s="14"/>
      <c r="L27" s="14"/>
      <c r="M27" s="14"/>
      <c r="N27" s="14"/>
      <c r="O27" s="14"/>
      <c r="P27" s="14"/>
      <c r="Q27" s="14"/>
      <c r="R27" s="14"/>
      <c r="S27" s="22"/>
      <c r="T27" s="22"/>
      <c r="U27" s="22"/>
      <c r="V27" s="22"/>
      <c r="W27" s="16"/>
    </row>
    <row r="51" spans="3:16" x14ac:dyDescent="0.2">
      <c r="C51" s="172"/>
      <c r="D51" s="172"/>
      <c r="E51" s="172"/>
      <c r="F51" s="172"/>
      <c r="G51" s="172"/>
      <c r="H51" s="172"/>
      <c r="I51" s="172"/>
      <c r="J51" s="172"/>
      <c r="K51" s="172"/>
      <c r="L51" s="172"/>
      <c r="M51" s="172"/>
      <c r="N51" s="172"/>
      <c r="O51" s="172"/>
      <c r="P51" s="172"/>
    </row>
  </sheetData>
  <mergeCells count="8">
    <mergeCell ref="A8:B8"/>
    <mergeCell ref="A9:B9"/>
    <mergeCell ref="A10:B10"/>
    <mergeCell ref="A3:B3"/>
    <mergeCell ref="A6:B6"/>
    <mergeCell ref="A7:B7"/>
    <mergeCell ref="A4:B4"/>
    <mergeCell ref="A5:B5"/>
  </mergeCells>
  <pageMargins left="0.5" right="0.5" top="0.5" bottom="0.5" header="0" footer="0.35"/>
  <pageSetup paperSize="5" scale="41" orientation="landscape" r:id="rId1"/>
  <headerFooter alignWithMargins="0">
    <oddFooter>&amp;L&amp;8&amp;F&amp;C&amp;8Page &amp;P of  &amp;N</oddFooter>
  </headerFooter>
  <drawing r:id="rId2"/>
  <legacyDrawing r:id="rId3"/>
  <controls>
    <mc:AlternateContent xmlns:mc="http://schemas.openxmlformats.org/markup-compatibility/2006">
      <mc:Choice Requires="x14">
        <control shapeId="3074" r:id="rId4" name="CheckBox2">
          <controlPr autoLine="0" r:id="rId5">
            <anchor moveWithCells="1">
              <from>
                <xdr:col>1</xdr:col>
                <xdr:colOff>561975</xdr:colOff>
                <xdr:row>10</xdr:row>
                <xdr:rowOff>0</xdr:rowOff>
              </from>
              <to>
                <xdr:col>1</xdr:col>
                <xdr:colOff>1647825</xdr:colOff>
                <xdr:row>11</xdr:row>
                <xdr:rowOff>76200</xdr:rowOff>
              </to>
            </anchor>
          </controlPr>
        </control>
      </mc:Choice>
      <mc:Fallback>
        <control shapeId="3074" r:id="rId4" name="CheckBox2"/>
      </mc:Fallback>
    </mc:AlternateContent>
    <mc:AlternateContent xmlns:mc="http://schemas.openxmlformats.org/markup-compatibility/2006">
      <mc:Choice Requires="x14">
        <control shapeId="3073" r:id="rId6" name="CheckBox1">
          <controlPr autoLine="0" r:id="rId7">
            <anchor moveWithCells="1">
              <from>
                <xdr:col>0</xdr:col>
                <xdr:colOff>66675</xdr:colOff>
                <xdr:row>10</xdr:row>
                <xdr:rowOff>28575</xdr:rowOff>
              </from>
              <to>
                <xdr:col>1</xdr:col>
                <xdr:colOff>180975</xdr:colOff>
                <xdr:row>10</xdr:row>
                <xdr:rowOff>171450</xdr:rowOff>
              </to>
            </anchor>
          </controlPr>
        </control>
      </mc:Choice>
      <mc:Fallback>
        <control shapeId="3073" r:id="rId6" name="CheckBox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Z99"/>
  <sheetViews>
    <sheetView zoomScaleNormal="100" workbookViewId="0">
      <pane xSplit="2" ySplit="17" topLeftCell="C18" activePane="bottomRight" state="frozen"/>
      <selection pane="topRight" activeCell="C1" sqref="C1"/>
      <selection pane="bottomLeft" activeCell="A11" sqref="A11"/>
      <selection pane="bottomRight" activeCell="H26" sqref="H26"/>
    </sheetView>
  </sheetViews>
  <sheetFormatPr defaultColWidth="9.33203125" defaultRowHeight="12.75" x14ac:dyDescent="0.2"/>
  <cols>
    <col min="1" max="1" width="5.33203125" style="2" customWidth="1"/>
    <col min="2" max="2" width="55.33203125" style="1" customWidth="1"/>
    <col min="3" max="5" width="12.83203125" style="13" customWidth="1"/>
    <col min="6" max="6" width="19.33203125" style="13" customWidth="1"/>
    <col min="7" max="17" width="12.83203125" style="13" customWidth="1"/>
    <col min="18" max="18" width="9" style="13" bestFit="1" customWidth="1"/>
    <col min="19" max="19" width="11.6640625" style="13" bestFit="1" customWidth="1"/>
    <col min="20" max="20" width="11" style="18" bestFit="1" customWidth="1"/>
    <col min="21" max="21" width="12" style="18" customWidth="1"/>
    <col min="22" max="22" width="10.33203125" style="18" customWidth="1"/>
    <col min="23" max="23" width="12" style="18" bestFit="1" customWidth="1"/>
    <col min="24" max="24" width="14.33203125" style="17" customWidth="1"/>
    <col min="25" max="25" width="14.1640625" style="2" customWidth="1"/>
    <col min="26" max="26" width="10.6640625" style="18" bestFit="1" customWidth="1"/>
    <col min="27" max="16384" width="9.33203125" style="2"/>
  </cols>
  <sheetData>
    <row r="1" spans="1:26" ht="15.75" x14ac:dyDescent="0.25">
      <c r="A1" s="59" t="s">
        <v>145</v>
      </c>
      <c r="B1" s="29"/>
      <c r="C1" s="13" t="s">
        <v>277</v>
      </c>
    </row>
    <row r="2" spans="1:26" ht="15.75" x14ac:dyDescent="0.25">
      <c r="A2" s="11" t="s">
        <v>146</v>
      </c>
      <c r="B2" s="29"/>
      <c r="C2" s="13" t="s">
        <v>278</v>
      </c>
      <c r="F2" s="158"/>
    </row>
    <row r="3" spans="1:26" ht="15.75" x14ac:dyDescent="0.25">
      <c r="A3" s="186" t="str">
        <f>'Scope Overview'!A3</f>
        <v>Project Name: [project name]</v>
      </c>
      <c r="B3" s="186"/>
      <c r="C3" s="2" t="s">
        <v>279</v>
      </c>
      <c r="D3" s="11"/>
      <c r="E3" s="11"/>
      <c r="F3" s="159"/>
      <c r="G3" s="11"/>
      <c r="H3" s="11"/>
      <c r="I3" s="11"/>
      <c r="J3" s="11"/>
      <c r="K3" s="11"/>
      <c r="L3" s="11"/>
      <c r="M3" s="11"/>
      <c r="N3" s="11"/>
      <c r="O3" s="11"/>
      <c r="P3" s="11"/>
      <c r="Q3" s="11"/>
      <c r="R3" s="11"/>
      <c r="S3" s="11"/>
      <c r="T3" s="11"/>
      <c r="U3" s="11"/>
      <c r="V3" s="11"/>
      <c r="W3" s="11"/>
      <c r="X3" s="11"/>
    </row>
    <row r="4" spans="1:26" s="30" customFormat="1" ht="12.75" customHeight="1" x14ac:dyDescent="0.2">
      <c r="A4" s="186" t="str">
        <f>'Scope Overview'!A4</f>
        <v>Contractor Name: Terraphase Engineering, Inc.</v>
      </c>
      <c r="B4" s="186"/>
      <c r="C4" s="2"/>
      <c r="D4" s="10"/>
      <c r="E4" s="10"/>
      <c r="F4" s="10"/>
      <c r="G4" s="10"/>
      <c r="H4" s="10"/>
      <c r="I4" s="10"/>
      <c r="J4" s="10"/>
      <c r="K4" s="10"/>
      <c r="L4" s="10"/>
      <c r="M4" s="10"/>
      <c r="N4" s="10"/>
      <c r="O4" s="10"/>
      <c r="P4" s="10"/>
      <c r="Q4" s="10"/>
      <c r="R4" s="10"/>
      <c r="S4" s="10"/>
      <c r="T4" s="10"/>
      <c r="U4" s="10"/>
      <c r="V4" s="10"/>
      <c r="W4" s="10"/>
      <c r="X4" s="10"/>
      <c r="Z4" s="31"/>
    </row>
    <row r="5" spans="1:26" s="10" customFormat="1" ht="12.75" customHeight="1" x14ac:dyDescent="0.2">
      <c r="A5" s="186" t="str">
        <f>'Scope Overview'!A5</f>
        <v>Contractor Project Manager: Ryan Thompson</v>
      </c>
      <c r="B5" s="186"/>
      <c r="C5" s="2"/>
      <c r="D5" s="30"/>
      <c r="E5" s="30"/>
      <c r="F5" s="30"/>
      <c r="G5" s="30"/>
      <c r="H5" s="30"/>
      <c r="I5" s="30"/>
      <c r="J5" s="30"/>
      <c r="K5" s="30"/>
      <c r="L5" s="30"/>
      <c r="R5" s="30"/>
      <c r="S5" s="30"/>
      <c r="T5" s="30"/>
      <c r="U5" s="30"/>
      <c r="V5" s="30"/>
      <c r="W5" s="30"/>
      <c r="X5" s="30"/>
      <c r="Z5" s="32"/>
    </row>
    <row r="6" spans="1:26" s="30" customFormat="1" ht="12.75" customHeight="1" x14ac:dyDescent="0.2">
      <c r="A6" s="186" t="str">
        <f>'Scope Overview'!A6</f>
        <v xml:space="preserve">Purchase Requsition Number: </v>
      </c>
      <c r="B6" s="186"/>
      <c r="C6" s="2"/>
      <c r="D6" s="10"/>
      <c r="E6" s="10"/>
      <c r="F6" s="10"/>
      <c r="G6" s="10"/>
      <c r="H6" s="10"/>
      <c r="I6" s="10"/>
      <c r="J6" s="10"/>
      <c r="K6" s="10"/>
      <c r="L6" s="10"/>
      <c r="M6" s="10"/>
      <c r="N6" s="10"/>
      <c r="O6" s="10"/>
      <c r="P6" s="10"/>
      <c r="Q6" s="10"/>
      <c r="R6" s="10"/>
      <c r="S6" s="10"/>
      <c r="T6" s="10"/>
      <c r="U6" s="10"/>
      <c r="V6" s="10"/>
      <c r="W6" s="10"/>
      <c r="X6" s="10"/>
      <c r="Z6" s="31"/>
    </row>
    <row r="7" spans="1:26" s="30" customFormat="1" x14ac:dyDescent="0.2">
      <c r="A7" s="186" t="str">
        <f>'Scope Overview'!A7</f>
        <v>Release PO#  [SAP]</v>
      </c>
      <c r="B7" s="186"/>
      <c r="C7" s="2"/>
      <c r="D7" s="10"/>
      <c r="E7" s="10"/>
      <c r="F7" s="10"/>
      <c r="G7" s="10"/>
      <c r="H7" s="10"/>
      <c r="I7" s="10"/>
      <c r="J7" s="10"/>
      <c r="K7" s="10"/>
      <c r="L7" s="10"/>
      <c r="M7" s="10"/>
      <c r="N7" s="10"/>
      <c r="O7" s="10"/>
      <c r="P7" s="10"/>
      <c r="Q7" s="10"/>
      <c r="R7" s="10"/>
      <c r="S7" s="10"/>
      <c r="T7" s="10"/>
      <c r="U7" s="10"/>
      <c r="V7" s="10"/>
      <c r="W7" s="10"/>
      <c r="X7" s="10"/>
      <c r="Z7" s="31"/>
    </row>
    <row r="8" spans="1:26" s="30" customFormat="1" ht="12.75" customHeight="1" x14ac:dyDescent="0.2">
      <c r="A8" s="186" t="str">
        <f>'Scope Overview'!A8</f>
        <v>Period of Performance: October-November 2026</v>
      </c>
      <c r="B8" s="186"/>
      <c r="C8" s="2"/>
      <c r="D8" s="10"/>
      <c r="E8" s="10"/>
      <c r="F8" s="10"/>
      <c r="G8" s="10"/>
      <c r="H8" s="10"/>
      <c r="I8" s="10"/>
      <c r="J8" s="10"/>
      <c r="K8" s="10"/>
      <c r="L8" s="10"/>
      <c r="M8" s="10"/>
      <c r="N8" s="10"/>
      <c r="O8" s="10"/>
      <c r="P8" s="10"/>
      <c r="Q8" s="10"/>
      <c r="R8" s="10"/>
      <c r="S8" s="10"/>
      <c r="T8" s="10"/>
      <c r="U8" s="10"/>
      <c r="V8" s="10"/>
      <c r="W8" s="10"/>
      <c r="X8" s="10"/>
      <c r="Z8" s="31"/>
    </row>
    <row r="9" spans="1:26" s="30" customFormat="1" ht="12.75" customHeight="1" x14ac:dyDescent="0.2">
      <c r="A9" s="186" t="str">
        <f>'Scope Overview'!A9</f>
        <v>SCE Environmental Section: Remediation</v>
      </c>
      <c r="B9" s="186"/>
      <c r="C9" s="2"/>
      <c r="D9" s="10"/>
      <c r="E9" s="10"/>
      <c r="F9" s="10"/>
      <c r="G9" s="10"/>
      <c r="H9" s="10"/>
      <c r="I9" s="10"/>
      <c r="J9" s="10"/>
      <c r="K9" s="10"/>
      <c r="L9" s="10"/>
      <c r="M9" s="10"/>
      <c r="N9" s="10"/>
      <c r="O9" s="10"/>
      <c r="P9" s="10"/>
      <c r="Q9" s="10"/>
      <c r="R9" s="10"/>
      <c r="S9" s="10"/>
      <c r="T9" s="10"/>
      <c r="U9" s="10"/>
      <c r="V9" s="10"/>
      <c r="W9" s="10"/>
      <c r="X9" s="10"/>
      <c r="Z9" s="31"/>
    </row>
    <row r="10" spans="1:26" s="30" customFormat="1" ht="12.75" customHeight="1" x14ac:dyDescent="0.2">
      <c r="A10" s="186" t="str">
        <f>'Scope Overview'!A10</f>
        <v>SCE Project Manager: [WCI PM]</v>
      </c>
      <c r="B10" s="186"/>
      <c r="C10" s="2"/>
      <c r="D10" s="10"/>
      <c r="E10" s="10"/>
      <c r="F10" s="10"/>
      <c r="G10" s="10"/>
      <c r="H10" s="10"/>
      <c r="I10" s="10"/>
      <c r="J10" s="10"/>
      <c r="K10" s="10"/>
      <c r="L10" s="10"/>
      <c r="M10" s="10"/>
      <c r="N10" s="10"/>
      <c r="O10" s="10"/>
      <c r="P10" s="10"/>
      <c r="Q10" s="10"/>
      <c r="R10" s="10"/>
      <c r="S10" s="10"/>
      <c r="T10" s="10"/>
      <c r="U10" s="10"/>
      <c r="V10" s="10"/>
      <c r="W10" s="10"/>
      <c r="X10" s="10"/>
      <c r="Z10" s="31"/>
    </row>
    <row r="11" spans="1:26" ht="15.75" x14ac:dyDescent="0.25">
      <c r="A11" s="4"/>
      <c r="B11" s="4"/>
      <c r="C11" s="2"/>
      <c r="D11" s="12"/>
      <c r="E11" s="12"/>
      <c r="F11" s="12"/>
      <c r="G11" s="12"/>
      <c r="H11" s="12"/>
      <c r="I11" s="12"/>
      <c r="J11" s="12"/>
      <c r="K11" s="12"/>
      <c r="L11" s="12"/>
      <c r="M11" s="12"/>
      <c r="N11" s="12"/>
      <c r="O11" s="12"/>
      <c r="P11" s="12"/>
      <c r="Q11" s="12"/>
      <c r="R11" s="12"/>
      <c r="S11" s="12"/>
      <c r="T11" s="20"/>
      <c r="U11" s="20"/>
      <c r="V11" s="20"/>
      <c r="W11" s="20"/>
      <c r="X11" s="20"/>
    </row>
    <row r="12" spans="1:26" ht="15.75" x14ac:dyDescent="0.25">
      <c r="A12" s="177"/>
      <c r="B12" s="177"/>
      <c r="C12" s="92"/>
      <c r="D12" s="12"/>
      <c r="E12" s="12"/>
      <c r="F12" s="12"/>
      <c r="G12" s="12"/>
      <c r="H12" s="12"/>
      <c r="I12" s="12"/>
      <c r="J12" s="12"/>
      <c r="K12" s="12"/>
      <c r="L12" s="12"/>
      <c r="M12" s="12"/>
      <c r="N12" s="12"/>
      <c r="O12" s="12"/>
      <c r="P12" s="12"/>
      <c r="Q12" s="12"/>
      <c r="R12" s="12"/>
      <c r="S12" s="12"/>
      <c r="T12" s="20"/>
      <c r="U12" s="20"/>
      <c r="V12" s="20"/>
      <c r="W12" s="20"/>
      <c r="X12" s="20"/>
    </row>
    <row r="13" spans="1:26" ht="15.75" x14ac:dyDescent="0.25">
      <c r="A13" s="187" t="s">
        <v>280</v>
      </c>
      <c r="B13" s="187"/>
      <c r="C13" s="92"/>
      <c r="D13" s="12"/>
      <c r="E13" s="12"/>
      <c r="F13" s="12"/>
      <c r="G13" s="12"/>
      <c r="H13" s="12"/>
      <c r="I13" s="12"/>
      <c r="J13" s="12"/>
      <c r="K13" s="12"/>
      <c r="L13" s="12"/>
      <c r="M13" s="12"/>
      <c r="N13" s="12"/>
      <c r="O13" s="12"/>
      <c r="P13" s="12"/>
      <c r="Q13" s="12"/>
      <c r="R13" s="12"/>
      <c r="S13" s="12"/>
      <c r="T13" s="20"/>
      <c r="U13" s="20"/>
      <c r="V13" s="20"/>
      <c r="W13" s="20"/>
      <c r="X13" s="20"/>
    </row>
    <row r="14" spans="1:26" ht="15.75" x14ac:dyDescent="0.25">
      <c r="A14" s="187"/>
      <c r="B14" s="187"/>
      <c r="C14" s="92" t="s">
        <v>147</v>
      </c>
      <c r="D14" s="12"/>
      <c r="E14" s="12"/>
      <c r="F14" s="12"/>
      <c r="G14" s="12"/>
      <c r="H14" s="12"/>
      <c r="I14" s="12"/>
      <c r="J14" s="12"/>
      <c r="K14" s="12"/>
      <c r="L14" s="12"/>
      <c r="M14" s="12"/>
      <c r="N14" s="12"/>
      <c r="O14" s="12"/>
      <c r="P14" s="12"/>
      <c r="Q14" s="12"/>
      <c r="R14" s="12"/>
      <c r="S14" s="12"/>
      <c r="T14" s="20"/>
      <c r="U14" s="20"/>
      <c r="V14" s="20"/>
      <c r="W14" s="20"/>
      <c r="X14" s="20"/>
    </row>
    <row r="15" spans="1:26" s="1" customFormat="1" x14ac:dyDescent="0.2">
      <c r="B15" s="27"/>
      <c r="C15" s="55"/>
      <c r="D15" s="51"/>
      <c r="E15" s="51"/>
      <c r="F15" s="51"/>
      <c r="G15" s="51"/>
      <c r="H15" s="51"/>
      <c r="I15" s="51"/>
      <c r="J15" s="51"/>
      <c r="K15" s="51"/>
      <c r="L15" s="51"/>
      <c r="M15" s="51"/>
      <c r="N15" s="51"/>
      <c r="O15" s="51"/>
      <c r="P15" s="51"/>
      <c r="Q15" s="51"/>
      <c r="R15" s="51"/>
      <c r="S15" s="51"/>
      <c r="T15" s="52"/>
      <c r="U15" s="52"/>
      <c r="V15" s="52"/>
      <c r="W15" s="52"/>
      <c r="X15" s="54"/>
      <c r="Z15" s="19"/>
    </row>
    <row r="16" spans="1:26" s="3" customFormat="1" ht="24.75" customHeight="1" x14ac:dyDescent="0.2">
      <c r="B16" s="25" t="s">
        <v>148</v>
      </c>
      <c r="C16" s="91" t="s">
        <v>3</v>
      </c>
      <c r="D16" s="49" t="s">
        <v>4</v>
      </c>
      <c r="E16" s="90" t="s">
        <v>149</v>
      </c>
      <c r="F16" s="90" t="s">
        <v>150</v>
      </c>
      <c r="G16" s="90" t="s">
        <v>6</v>
      </c>
      <c r="H16" s="90" t="s">
        <v>151</v>
      </c>
      <c r="I16" s="90" t="s">
        <v>8</v>
      </c>
      <c r="J16" s="90" t="s">
        <v>9</v>
      </c>
      <c r="K16" s="90" t="s">
        <v>10</v>
      </c>
      <c r="L16" s="49" t="s">
        <v>82</v>
      </c>
      <c r="M16" s="90" t="s">
        <v>12</v>
      </c>
      <c r="N16" s="90" t="s">
        <v>152</v>
      </c>
      <c r="O16" s="49" t="s">
        <v>86</v>
      </c>
      <c r="P16" s="49" t="s">
        <v>153</v>
      </c>
      <c r="Q16" s="90" t="s">
        <v>281</v>
      </c>
      <c r="R16" s="49" t="s">
        <v>154</v>
      </c>
      <c r="S16" s="90" t="s">
        <v>155</v>
      </c>
      <c r="T16" s="50" t="s">
        <v>156</v>
      </c>
      <c r="U16" s="50" t="s">
        <v>157</v>
      </c>
      <c r="V16" s="89" t="s">
        <v>158</v>
      </c>
      <c r="W16" s="89" t="s">
        <v>159</v>
      </c>
      <c r="X16" s="53" t="s">
        <v>144</v>
      </c>
      <c r="Z16" s="23"/>
    </row>
    <row r="17" spans="1:25" s="17" customFormat="1" x14ac:dyDescent="0.2">
      <c r="A17" s="15"/>
      <c r="B17" s="26"/>
      <c r="C17" s="57">
        <f>'Contractor Rates'!C4</f>
        <v>279</v>
      </c>
      <c r="D17" s="57">
        <f>'Contractor Rates'!C5</f>
        <v>272</v>
      </c>
      <c r="E17" s="57">
        <f>'Contractor Rates'!C6</f>
        <v>254</v>
      </c>
      <c r="F17" s="57">
        <f>'Contractor Rates'!C7</f>
        <v>237</v>
      </c>
      <c r="G17" s="57">
        <f>'Contractor Rates'!C8</f>
        <v>214</v>
      </c>
      <c r="H17" s="57">
        <f>'Contractor Rates'!C9</f>
        <v>198</v>
      </c>
      <c r="I17" s="57">
        <f>'Contractor Rates'!C10</f>
        <v>182</v>
      </c>
      <c r="J17" s="57">
        <f>'Contractor Rates'!C11</f>
        <v>165</v>
      </c>
      <c r="K17" s="57">
        <f>'Contractor Rates'!C12</f>
        <v>142</v>
      </c>
      <c r="L17" s="57">
        <f>'Contractor Rates'!C13</f>
        <v>132</v>
      </c>
      <c r="M17" s="57">
        <f>'Contractor Rates'!C14</f>
        <v>128</v>
      </c>
      <c r="N17" s="57">
        <f>'Contractor Rates'!C15</f>
        <v>138</v>
      </c>
      <c r="O17" s="57">
        <f>'Contractor Rates'!C16</f>
        <v>105</v>
      </c>
      <c r="P17" s="57">
        <f>'Contractor Rates'!C17</f>
        <v>85</v>
      </c>
      <c r="Q17" s="57">
        <f>'Contractor Rates'!D17</f>
        <v>0</v>
      </c>
      <c r="R17" s="57">
        <v>0</v>
      </c>
      <c r="S17" s="57">
        <v>138</v>
      </c>
      <c r="T17" s="206" t="s">
        <v>302</v>
      </c>
      <c r="U17" s="155"/>
      <c r="V17" s="155"/>
      <c r="W17" s="155"/>
      <c r="X17" s="155"/>
    </row>
    <row r="18" spans="1:25" ht="12" customHeight="1" thickBot="1" x14ac:dyDescent="0.25">
      <c r="A18" s="70" t="s">
        <v>160</v>
      </c>
      <c r="B18" s="69" t="s">
        <v>125</v>
      </c>
      <c r="C18" s="66"/>
      <c r="D18" s="66"/>
      <c r="E18" s="66"/>
      <c r="F18" s="66"/>
      <c r="G18" s="66"/>
      <c r="H18" s="66"/>
      <c r="I18" s="66"/>
      <c r="J18" s="66"/>
      <c r="K18" s="66"/>
      <c r="L18" s="66"/>
      <c r="M18" s="66"/>
      <c r="N18" s="66"/>
      <c r="O18" s="66"/>
      <c r="P18" s="66"/>
      <c r="Q18" s="66"/>
      <c r="R18" s="66"/>
      <c r="S18" s="66"/>
      <c r="T18" s="68"/>
      <c r="U18" s="68"/>
      <c r="V18" s="68"/>
      <c r="W18" s="68"/>
      <c r="X18" s="95"/>
    </row>
    <row r="19" spans="1:25" ht="12" customHeight="1" x14ac:dyDescent="0.2">
      <c r="A19" s="3" t="s">
        <v>161</v>
      </c>
      <c r="B19" s="130" t="s">
        <v>162</v>
      </c>
      <c r="C19" s="44"/>
      <c r="D19" s="40"/>
      <c r="E19" s="40"/>
      <c r="F19" s="40"/>
      <c r="G19" s="40"/>
      <c r="H19" s="40"/>
      <c r="I19" s="40"/>
      <c r="J19" s="40"/>
      <c r="K19" s="40"/>
      <c r="L19" s="40"/>
      <c r="M19" s="40"/>
      <c r="N19" s="40"/>
      <c r="O19" s="40"/>
      <c r="P19" s="40"/>
      <c r="Q19" s="44"/>
      <c r="R19" s="44"/>
      <c r="S19" s="40"/>
      <c r="T19" s="36">
        <v>0</v>
      </c>
      <c r="U19" s="36">
        <v>0</v>
      </c>
      <c r="V19" s="36">
        <v>0</v>
      </c>
      <c r="W19" s="36">
        <v>0</v>
      </c>
      <c r="X19" s="37">
        <f>C19*C$17+D19*D$17+E19*E$17+F19*F$17+G19*G$17+H19*H$17+I19*I$17+J19*J$17+K19*K$17++L19*L$17++M19*M$17+N19*N$17+O19*O$17+P19*P$17+R19*R$17+S19*S$17+T19+U19+V19+W19</f>
        <v>0</v>
      </c>
    </row>
    <row r="20" spans="1:25" x14ac:dyDescent="0.2">
      <c r="A20" s="24" t="s">
        <v>163</v>
      </c>
      <c r="B20" s="130" t="s">
        <v>164</v>
      </c>
      <c r="C20" s="45"/>
      <c r="D20" s="33"/>
      <c r="E20" s="33"/>
      <c r="F20" s="33"/>
      <c r="G20" s="33"/>
      <c r="H20" s="33"/>
      <c r="I20" s="33"/>
      <c r="J20" s="33"/>
      <c r="K20" s="33"/>
      <c r="L20" s="33"/>
      <c r="M20" s="33"/>
      <c r="N20" s="33"/>
      <c r="O20" s="33"/>
      <c r="P20" s="33"/>
      <c r="Q20" s="45"/>
      <c r="R20" s="45"/>
      <c r="S20" s="33"/>
      <c r="T20" s="34">
        <v>0</v>
      </c>
      <c r="U20" s="34">
        <v>0</v>
      </c>
      <c r="V20" s="34">
        <v>0</v>
      </c>
      <c r="W20" s="34">
        <v>0</v>
      </c>
      <c r="X20" s="39">
        <f t="shared" ref="X20:X83" si="0">C20*C$17+D20*D$17+E20*E$17+F20*F$17+G20*G$17+H20*H$17+I20*I$17+J20*J$17+K20*K$17++L20*L$17++M20*M$17+N20*N$17+O20*O$17+P20*P$17+R20*R$17+S20*S$17+T20+U20+V20+W20</f>
        <v>0</v>
      </c>
    </row>
    <row r="21" spans="1:25" ht="12" customHeight="1" x14ac:dyDescent="0.2">
      <c r="A21" s="3" t="s">
        <v>165</v>
      </c>
      <c r="B21" s="130" t="s">
        <v>166</v>
      </c>
      <c r="C21" s="45"/>
      <c r="D21" s="33"/>
      <c r="E21" s="33"/>
      <c r="F21" s="33"/>
      <c r="G21" s="33"/>
      <c r="H21" s="33"/>
      <c r="I21" s="33"/>
      <c r="J21" s="33"/>
      <c r="K21" s="33"/>
      <c r="L21" s="33"/>
      <c r="M21" s="33"/>
      <c r="N21" s="33"/>
      <c r="O21" s="33"/>
      <c r="P21" s="33"/>
      <c r="Q21" s="45"/>
      <c r="R21" s="45"/>
      <c r="S21" s="33"/>
      <c r="T21" s="34">
        <v>0</v>
      </c>
      <c r="U21" s="34">
        <v>0</v>
      </c>
      <c r="V21" s="34">
        <v>0</v>
      </c>
      <c r="W21" s="34">
        <v>0</v>
      </c>
      <c r="X21" s="39">
        <f t="shared" si="0"/>
        <v>0</v>
      </c>
    </row>
    <row r="22" spans="1:25" ht="12" customHeight="1" x14ac:dyDescent="0.2">
      <c r="A22" s="3" t="s">
        <v>167</v>
      </c>
      <c r="B22" s="130" t="s">
        <v>168</v>
      </c>
      <c r="C22" s="45"/>
      <c r="D22" s="33"/>
      <c r="E22" s="33"/>
      <c r="F22" s="33"/>
      <c r="G22" s="33"/>
      <c r="H22" s="33"/>
      <c r="I22" s="33"/>
      <c r="J22" s="33"/>
      <c r="K22" s="33"/>
      <c r="L22" s="33"/>
      <c r="M22" s="33"/>
      <c r="N22" s="33"/>
      <c r="O22" s="33"/>
      <c r="P22" s="33"/>
      <c r="Q22" s="45"/>
      <c r="R22" s="45"/>
      <c r="S22" s="33"/>
      <c r="T22" s="34">
        <v>0</v>
      </c>
      <c r="U22" s="34">
        <v>0</v>
      </c>
      <c r="V22" s="34">
        <v>0</v>
      </c>
      <c r="W22" s="34">
        <v>0</v>
      </c>
      <c r="X22" s="39">
        <f t="shared" si="0"/>
        <v>0</v>
      </c>
    </row>
    <row r="23" spans="1:25" ht="12" customHeight="1" x14ac:dyDescent="0.2">
      <c r="A23" s="60" t="s">
        <v>169</v>
      </c>
      <c r="B23" s="61" t="s">
        <v>125</v>
      </c>
      <c r="C23" s="64">
        <f>SUBTOTAL(9,C19:C22)*C17</f>
        <v>0</v>
      </c>
      <c r="D23" s="64">
        <f>SUBTOTAL(9,D19:D22)*D17</f>
        <v>0</v>
      </c>
      <c r="E23" s="64">
        <f t="shared" ref="E23:S23" si="1">SUBTOTAL(9,E19:E22)*E17</f>
        <v>0</v>
      </c>
      <c r="F23" s="64">
        <f t="shared" si="1"/>
        <v>0</v>
      </c>
      <c r="G23" s="64">
        <f t="shared" si="1"/>
        <v>0</v>
      </c>
      <c r="H23" s="64">
        <f t="shared" si="1"/>
        <v>0</v>
      </c>
      <c r="I23" s="64">
        <f t="shared" si="1"/>
        <v>0</v>
      </c>
      <c r="J23" s="64">
        <f t="shared" si="1"/>
        <v>0</v>
      </c>
      <c r="K23" s="64">
        <f t="shared" si="1"/>
        <v>0</v>
      </c>
      <c r="L23" s="64">
        <f t="shared" si="1"/>
        <v>0</v>
      </c>
      <c r="M23" s="64">
        <f t="shared" si="1"/>
        <v>0</v>
      </c>
      <c r="N23" s="64">
        <f t="shared" si="1"/>
        <v>0</v>
      </c>
      <c r="O23" s="64">
        <f t="shared" si="1"/>
        <v>0</v>
      </c>
      <c r="P23" s="64">
        <f t="shared" si="1"/>
        <v>0</v>
      </c>
      <c r="Q23" s="64">
        <f t="shared" si="1"/>
        <v>0</v>
      </c>
      <c r="R23" s="64">
        <f t="shared" si="1"/>
        <v>0</v>
      </c>
      <c r="S23" s="64">
        <f t="shared" si="1"/>
        <v>0</v>
      </c>
      <c r="T23" s="64">
        <f t="shared" ref="T23:W23" si="2">SUBTOTAL(9,T19:T22)</f>
        <v>0</v>
      </c>
      <c r="U23" s="64">
        <f t="shared" si="2"/>
        <v>0</v>
      </c>
      <c r="V23" s="64">
        <f t="shared" si="2"/>
        <v>0</v>
      </c>
      <c r="W23" s="93">
        <f t="shared" si="2"/>
        <v>0</v>
      </c>
      <c r="X23" s="65">
        <f>SUM(C23:W23)</f>
        <v>0</v>
      </c>
      <c r="Y23" s="7"/>
    </row>
    <row r="24" spans="1:25" ht="12" customHeight="1" thickBot="1" x14ac:dyDescent="0.25">
      <c r="A24" s="70" t="s">
        <v>126</v>
      </c>
      <c r="B24" s="69" t="s">
        <v>127</v>
      </c>
      <c r="C24" s="66"/>
      <c r="D24" s="66"/>
      <c r="E24" s="66"/>
      <c r="F24" s="66"/>
      <c r="G24" s="66"/>
      <c r="H24" s="66"/>
      <c r="I24" s="66"/>
      <c r="J24" s="66"/>
      <c r="K24" s="66"/>
      <c r="L24" s="66"/>
      <c r="M24" s="66"/>
      <c r="N24" s="66"/>
      <c r="O24" s="66"/>
      <c r="P24" s="66"/>
      <c r="Q24" s="66"/>
      <c r="R24" s="66"/>
      <c r="S24" s="66"/>
      <c r="T24" s="68"/>
      <c r="U24" s="68"/>
      <c r="V24" s="68"/>
      <c r="W24" s="68"/>
      <c r="X24" s="95"/>
    </row>
    <row r="25" spans="1:25" ht="12" customHeight="1" x14ac:dyDescent="0.2">
      <c r="A25" s="3" t="s">
        <v>170</v>
      </c>
      <c r="B25" s="130" t="s">
        <v>171</v>
      </c>
      <c r="C25" s="167"/>
      <c r="D25" s="168"/>
      <c r="E25" s="168"/>
      <c r="F25" s="170"/>
      <c r="G25" s="168"/>
      <c r="H25" s="168"/>
      <c r="I25" s="168"/>
      <c r="J25" s="168"/>
      <c r="K25" s="168"/>
      <c r="L25" s="168"/>
      <c r="M25" s="168"/>
      <c r="N25" s="168"/>
      <c r="O25" s="168"/>
      <c r="P25" s="168"/>
      <c r="Q25" s="167"/>
      <c r="R25" s="167"/>
      <c r="S25" s="168"/>
      <c r="T25" s="36">
        <v>0</v>
      </c>
      <c r="U25" s="36">
        <v>0</v>
      </c>
      <c r="V25" s="36">
        <v>0</v>
      </c>
      <c r="W25" s="36">
        <v>0</v>
      </c>
      <c r="X25" s="39">
        <f>C25*C$17+D25*D$17+E25*E$17+F25*F$17+G25*G$17+H25*H$17+I25*I$17+J25*J$17+K25*K$17++L25*L$17++M25*M$17+N25*N$17+O25*O$17+P25*P$17+R25*R$17+S25*S$17+T25+U25+V25+W25</f>
        <v>0</v>
      </c>
    </row>
    <row r="26" spans="1:25" ht="12" customHeight="1" x14ac:dyDescent="0.2">
      <c r="A26" s="3" t="s">
        <v>172</v>
      </c>
      <c r="B26" s="130" t="s">
        <v>173</v>
      </c>
      <c r="C26" s="169"/>
      <c r="D26" s="170"/>
      <c r="E26" s="170"/>
      <c r="F26" s="170"/>
      <c r="G26" s="170"/>
      <c r="H26" s="170"/>
      <c r="I26" s="170"/>
      <c r="J26" s="170"/>
      <c r="K26" s="170"/>
      <c r="L26" s="170"/>
      <c r="M26" s="170"/>
      <c r="N26" s="170"/>
      <c r="O26" s="170"/>
      <c r="P26" s="170"/>
      <c r="Q26" s="169"/>
      <c r="R26" s="169"/>
      <c r="S26" s="170">
        <v>1</v>
      </c>
      <c r="T26" s="208" t="s">
        <v>302</v>
      </c>
      <c r="U26" s="34">
        <v>0</v>
      </c>
      <c r="V26" s="34">
        <v>0</v>
      </c>
      <c r="W26" s="34">
        <v>0</v>
      </c>
      <c r="X26" s="39" t="e">
        <f>C26*C$17+D26*D$17+E26*E$17+F26*F$17+G26*G$17+H26*H$17+I26*I$17+J26*J$17+K26*K$17++L26*L$17++M26*M$17+N26*N$17+O26*O$17+P26*P$17+R26*R$17+S26*S$17+T26+U26+V26+W26</f>
        <v>#VALUE!</v>
      </c>
    </row>
    <row r="27" spans="1:25" ht="12" customHeight="1" x14ac:dyDescent="0.2">
      <c r="A27" s="3" t="s">
        <v>174</v>
      </c>
      <c r="B27" s="130" t="s">
        <v>175</v>
      </c>
      <c r="C27" s="169"/>
      <c r="D27" s="170"/>
      <c r="E27" s="170"/>
      <c r="G27" s="170"/>
      <c r="H27" s="170"/>
      <c r="I27" s="170"/>
      <c r="J27" s="170"/>
      <c r="K27" s="170"/>
      <c r="L27" s="170"/>
      <c r="M27" s="170"/>
      <c r="N27" s="170"/>
      <c r="O27" s="170"/>
      <c r="P27" s="170"/>
      <c r="Q27" s="169"/>
      <c r="R27" s="169"/>
      <c r="S27" s="170"/>
      <c r="T27" s="34">
        <v>0</v>
      </c>
      <c r="U27" s="34">
        <v>0</v>
      </c>
      <c r="V27" s="34">
        <v>0</v>
      </c>
      <c r="W27" s="34">
        <v>0</v>
      </c>
      <c r="X27" s="39">
        <f>C27*C$17+D27*D$17+E27*E$17+F27*F$17+G27*G$17+H27*H$17+I27*I$17+J27*J$17+K27*K$17++L27*L$17++M27*M$17+N27*N$17+O27*O$17+P27*P$17+R27*R$17+S27*S$17+T27+U27+V27+W27</f>
        <v>0</v>
      </c>
    </row>
    <row r="28" spans="1:25" ht="12" customHeight="1" x14ac:dyDescent="0.2">
      <c r="A28" s="3" t="s">
        <v>176</v>
      </c>
      <c r="B28" s="130" t="s">
        <v>177</v>
      </c>
      <c r="C28" s="169"/>
      <c r="D28" s="170"/>
      <c r="E28" s="170"/>
      <c r="F28" s="170"/>
      <c r="G28" s="170"/>
      <c r="H28" s="170"/>
      <c r="I28" s="170"/>
      <c r="J28" s="170"/>
      <c r="K28" s="170"/>
      <c r="L28" s="170"/>
      <c r="M28" s="170"/>
      <c r="N28" s="170"/>
      <c r="O28" s="170"/>
      <c r="P28" s="170"/>
      <c r="Q28" s="169"/>
      <c r="R28" s="169"/>
      <c r="S28" s="170"/>
      <c r="T28" s="34">
        <v>0</v>
      </c>
      <c r="U28" s="34">
        <v>0</v>
      </c>
      <c r="V28" s="34">
        <v>0</v>
      </c>
      <c r="W28" s="34">
        <v>0</v>
      </c>
      <c r="X28" s="39">
        <f t="shared" si="0"/>
        <v>0</v>
      </c>
    </row>
    <row r="29" spans="1:25" ht="12" customHeight="1" x14ac:dyDescent="0.2">
      <c r="A29" s="3" t="s">
        <v>178</v>
      </c>
      <c r="B29" s="130" t="s">
        <v>179</v>
      </c>
      <c r="C29" s="169"/>
      <c r="D29" s="170"/>
      <c r="E29" s="170"/>
      <c r="F29" s="170"/>
      <c r="G29" s="170"/>
      <c r="H29" s="170"/>
      <c r="I29" s="170"/>
      <c r="J29" s="170"/>
      <c r="K29" s="170"/>
      <c r="L29" s="170"/>
      <c r="M29" s="170"/>
      <c r="N29" s="170"/>
      <c r="O29" s="170"/>
      <c r="P29" s="170"/>
      <c r="Q29" s="169"/>
      <c r="R29" s="169"/>
      <c r="S29" s="170"/>
      <c r="T29" s="34">
        <v>0</v>
      </c>
      <c r="U29" s="34">
        <v>0</v>
      </c>
      <c r="V29" s="34">
        <v>0</v>
      </c>
      <c r="W29" s="34">
        <v>0</v>
      </c>
      <c r="X29" s="39">
        <f>C29*C$17+D29*D$17+E29*E$17+F29*F$17+G29*G$17+H29*H$17+I29*I$17+J29*J$17+K29*K$17++L29*L$17++M29*M$17+N29*N$17+O29*O$17+P29*P$17+R29*R$17+S29*S$17+T29+U29+V29+W29</f>
        <v>0</v>
      </c>
    </row>
    <row r="30" spans="1:25" ht="12" customHeight="1" x14ac:dyDescent="0.2">
      <c r="A30" s="3" t="s">
        <v>180</v>
      </c>
      <c r="B30" s="130" t="s">
        <v>181</v>
      </c>
      <c r="D30" s="170"/>
      <c r="E30" s="170"/>
      <c r="G30" s="170"/>
      <c r="H30" s="170"/>
      <c r="I30" s="170"/>
      <c r="J30" s="170"/>
      <c r="K30" s="170"/>
      <c r="L30" s="170"/>
      <c r="M30" s="170"/>
      <c r="N30" s="170"/>
      <c r="O30" s="170"/>
      <c r="Q30" s="169"/>
      <c r="R30" s="169"/>
      <c r="S30" s="170"/>
      <c r="T30" s="34">
        <v>0</v>
      </c>
      <c r="U30" s="34">
        <v>0</v>
      </c>
      <c r="V30" s="34">
        <v>0</v>
      </c>
      <c r="W30" s="34">
        <v>0</v>
      </c>
      <c r="X30" s="39">
        <f>C30*C$17+D30*D$17+E30*E$17+F32*F$17+G30*G$17+H30*H$17+I30*I$17+J32*J$17+K30*K$17++L30*L$17++M30*M$17+N30*N$17+O30*O$17+P30*P$17+R30*R$17+S30*S$17+T30+U30+V30+W30</f>
        <v>0</v>
      </c>
    </row>
    <row r="31" spans="1:25" ht="12" customHeight="1" x14ac:dyDescent="0.2">
      <c r="A31" s="3" t="s">
        <v>182</v>
      </c>
      <c r="B31" s="130" t="s">
        <v>183</v>
      </c>
      <c r="C31" s="169"/>
      <c r="D31" s="170"/>
      <c r="E31" s="170"/>
      <c r="F31" s="170"/>
      <c r="G31" s="170"/>
      <c r="H31" s="170"/>
      <c r="I31" s="170"/>
      <c r="J31" s="170"/>
      <c r="K31" s="170"/>
      <c r="L31" s="170"/>
      <c r="M31" s="170"/>
      <c r="N31" s="170"/>
      <c r="O31" s="170"/>
      <c r="P31" s="170"/>
      <c r="Q31" s="169"/>
      <c r="R31" s="169"/>
      <c r="S31" s="170"/>
      <c r="T31" s="34">
        <v>0</v>
      </c>
      <c r="U31" s="34">
        <v>0</v>
      </c>
      <c r="V31" s="34">
        <v>0</v>
      </c>
      <c r="W31" s="34">
        <v>0</v>
      </c>
      <c r="X31" s="39">
        <f>C31*C$17+D31*D$17+E31*E$17+F31*F$17+G31*G$17+H31*H$17+I31*I$17+J31*J$17+K31*K$17++L31*L$17++M31*M$17+N31*N$17+O31*O$17+P31*P$17+R31*R$17+S31*S$17+T31+U31+V31+W31</f>
        <v>0</v>
      </c>
    </row>
    <row r="32" spans="1:25" ht="12" customHeight="1" x14ac:dyDescent="0.2">
      <c r="A32" s="3" t="s">
        <v>184</v>
      </c>
      <c r="B32" s="130" t="s">
        <v>168</v>
      </c>
      <c r="C32" s="169"/>
      <c r="D32" s="170"/>
      <c r="E32" s="170"/>
      <c r="G32" s="170"/>
      <c r="H32" s="170"/>
      <c r="I32" s="170"/>
      <c r="J32" s="170"/>
      <c r="K32" s="170"/>
      <c r="L32" s="170"/>
      <c r="M32" s="170"/>
      <c r="N32" s="170"/>
      <c r="O32" s="170"/>
      <c r="P32" s="170"/>
      <c r="Q32" s="169"/>
      <c r="R32" s="169"/>
      <c r="S32" s="170"/>
      <c r="T32" s="34">
        <v>0</v>
      </c>
      <c r="U32" s="34">
        <v>0</v>
      </c>
      <c r="V32" s="34">
        <v>0</v>
      </c>
      <c r="W32" s="34">
        <v>0</v>
      </c>
      <c r="X32" s="39">
        <f>C32*C$17+D32*D$17+E32*E$17+F32*F$17+G32*G$17+H32*H$17+I32*I$17+J32*J$17+K32*K$17++L32*L$17++M32*M$17+N32*N$17+O32*O$17+P32*P$17+R32*R$17+S32*S$17+T32+U32+V32+W32</f>
        <v>0</v>
      </c>
    </row>
    <row r="33" spans="1:24" s="17" customFormat="1" ht="12" customHeight="1" x14ac:dyDescent="0.2">
      <c r="A33" s="60" t="s">
        <v>185</v>
      </c>
      <c r="B33" s="61" t="s">
        <v>127</v>
      </c>
      <c r="C33" s="64">
        <f>SUBTOTAL(9,C25:C32)*C17</f>
        <v>0</v>
      </c>
      <c r="D33" s="64">
        <f t="shared" ref="D33:R33" si="3">SUBTOTAL(9,D25:D32)*D17</f>
        <v>0</v>
      </c>
      <c r="E33" s="64">
        <f>SUBTOTAL(9,E25:E32)*E17</f>
        <v>0</v>
      </c>
      <c r="F33" s="64">
        <f>SUBTOTAL(9,F25:F32)*F17</f>
        <v>0</v>
      </c>
      <c r="G33" s="64">
        <f>SUBTOTAL(9,G25:G32)*G17</f>
        <v>0</v>
      </c>
      <c r="H33" s="64">
        <f t="shared" si="3"/>
        <v>0</v>
      </c>
      <c r="I33" s="64">
        <f t="shared" si="3"/>
        <v>0</v>
      </c>
      <c r="J33" s="64">
        <f>SUBTOTAL(9,J25:J32)*J17</f>
        <v>0</v>
      </c>
      <c r="K33" s="64">
        <f t="shared" si="3"/>
        <v>0</v>
      </c>
      <c r="L33" s="64">
        <f t="shared" si="3"/>
        <v>0</v>
      </c>
      <c r="M33" s="64">
        <f t="shared" ref="M33" si="4">SUBTOTAL(9,M25:M32)*M17</f>
        <v>0</v>
      </c>
      <c r="N33" s="64">
        <f t="shared" si="3"/>
        <v>0</v>
      </c>
      <c r="O33" s="64">
        <f t="shared" si="3"/>
        <v>0</v>
      </c>
      <c r="P33" s="64">
        <f>SUBTOTAL(9,P25:P32)*P17</f>
        <v>0</v>
      </c>
      <c r="Q33" s="64">
        <f t="shared" si="3"/>
        <v>0</v>
      </c>
      <c r="R33" s="64">
        <f t="shared" si="3"/>
        <v>0</v>
      </c>
      <c r="S33" s="64">
        <f>SUBTOTAL(9,S25:S32)*S17</f>
        <v>138</v>
      </c>
      <c r="T33" s="64">
        <f t="shared" ref="T33:W33" si="5">SUBTOTAL(9,T25:T32)</f>
        <v>0</v>
      </c>
      <c r="U33" s="64">
        <f t="shared" si="5"/>
        <v>0</v>
      </c>
      <c r="V33" s="64">
        <f t="shared" si="5"/>
        <v>0</v>
      </c>
      <c r="W33" s="64">
        <f t="shared" si="5"/>
        <v>0</v>
      </c>
      <c r="X33" s="65">
        <f>SUM(C33:W33)</f>
        <v>138</v>
      </c>
    </row>
    <row r="34" spans="1:24" ht="12" customHeight="1" thickBot="1" x14ac:dyDescent="0.25">
      <c r="A34" s="70" t="s">
        <v>128</v>
      </c>
      <c r="B34" s="69" t="s">
        <v>129</v>
      </c>
      <c r="C34" s="66"/>
      <c r="D34" s="66"/>
      <c r="E34" s="66"/>
      <c r="F34" s="66"/>
      <c r="G34" s="66"/>
      <c r="H34" s="66"/>
      <c r="I34" s="66"/>
      <c r="J34" s="66"/>
      <c r="K34" s="66"/>
      <c r="L34" s="66"/>
      <c r="M34" s="66"/>
      <c r="N34" s="66"/>
      <c r="O34" s="66"/>
      <c r="P34" s="66"/>
      <c r="Q34" s="66"/>
      <c r="R34" s="66"/>
      <c r="S34" s="66"/>
      <c r="T34" s="75"/>
      <c r="U34" s="75"/>
      <c r="V34" s="75"/>
      <c r="W34" s="75"/>
      <c r="X34" s="96"/>
    </row>
    <row r="35" spans="1:24" ht="12" customHeight="1" x14ac:dyDescent="0.2">
      <c r="A35" s="3" t="s">
        <v>186</v>
      </c>
      <c r="B35" s="130" t="s">
        <v>187</v>
      </c>
      <c r="C35" s="46"/>
      <c r="D35" s="35"/>
      <c r="E35" s="35"/>
      <c r="F35" s="35"/>
      <c r="G35" s="35"/>
      <c r="H35" s="35"/>
      <c r="I35" s="35"/>
      <c r="J35" s="35"/>
      <c r="K35" s="35"/>
      <c r="L35" s="35"/>
      <c r="M35" s="35"/>
      <c r="N35" s="35"/>
      <c r="O35" s="35"/>
      <c r="P35" s="35"/>
      <c r="Q35" s="46"/>
      <c r="R35" s="46"/>
      <c r="S35" s="35"/>
      <c r="T35" s="36">
        <v>0</v>
      </c>
      <c r="U35" s="36">
        <v>0</v>
      </c>
      <c r="V35" s="36">
        <v>0</v>
      </c>
      <c r="W35" s="36">
        <v>0</v>
      </c>
      <c r="X35" s="37">
        <f t="shared" si="0"/>
        <v>0</v>
      </c>
    </row>
    <row r="36" spans="1:24" ht="12" customHeight="1" x14ac:dyDescent="0.2">
      <c r="A36" s="3" t="s">
        <v>188</v>
      </c>
      <c r="B36" s="130" t="s">
        <v>175</v>
      </c>
      <c r="C36" s="47"/>
      <c r="D36" s="38"/>
      <c r="E36" s="38"/>
      <c r="F36" s="38"/>
      <c r="G36" s="38"/>
      <c r="H36" s="38"/>
      <c r="I36" s="38"/>
      <c r="J36" s="38"/>
      <c r="K36" s="38"/>
      <c r="L36" s="38"/>
      <c r="M36" s="38"/>
      <c r="N36" s="38"/>
      <c r="O36" s="38"/>
      <c r="P36" s="38"/>
      <c r="Q36" s="47"/>
      <c r="R36" s="47"/>
      <c r="S36" s="38"/>
      <c r="T36" s="34">
        <v>0</v>
      </c>
      <c r="U36" s="34">
        <v>0</v>
      </c>
      <c r="V36" s="34">
        <v>0</v>
      </c>
      <c r="W36" s="34">
        <v>0</v>
      </c>
      <c r="X36" s="39">
        <f t="shared" si="0"/>
        <v>0</v>
      </c>
    </row>
    <row r="37" spans="1:24" ht="12" customHeight="1" x14ac:dyDescent="0.2">
      <c r="A37" s="3" t="s">
        <v>189</v>
      </c>
      <c r="B37" s="130" t="s">
        <v>190</v>
      </c>
      <c r="C37" s="47"/>
      <c r="D37" s="38"/>
      <c r="E37" s="38"/>
      <c r="F37" s="38"/>
      <c r="G37" s="38"/>
      <c r="H37" s="38"/>
      <c r="I37" s="38"/>
      <c r="J37" s="38"/>
      <c r="K37" s="38"/>
      <c r="L37" s="38"/>
      <c r="M37" s="38"/>
      <c r="N37" s="38"/>
      <c r="O37" s="38"/>
      <c r="P37" s="38"/>
      <c r="Q37" s="47"/>
      <c r="R37" s="47"/>
      <c r="S37" s="38"/>
      <c r="T37" s="34">
        <v>0</v>
      </c>
      <c r="U37" s="34">
        <v>0</v>
      </c>
      <c r="V37" s="34">
        <v>0</v>
      </c>
      <c r="W37" s="34">
        <v>0</v>
      </c>
      <c r="X37" s="39">
        <f t="shared" si="0"/>
        <v>0</v>
      </c>
    </row>
    <row r="38" spans="1:24" ht="12" customHeight="1" x14ac:dyDescent="0.2">
      <c r="A38" s="3" t="s">
        <v>191</v>
      </c>
      <c r="B38" s="130" t="s">
        <v>183</v>
      </c>
      <c r="C38" s="47"/>
      <c r="D38" s="38"/>
      <c r="E38" s="38"/>
      <c r="F38" s="38"/>
      <c r="G38" s="38"/>
      <c r="H38" s="38"/>
      <c r="I38" s="38"/>
      <c r="J38" s="38"/>
      <c r="K38" s="38"/>
      <c r="L38" s="38"/>
      <c r="M38" s="38"/>
      <c r="N38" s="38"/>
      <c r="O38" s="38"/>
      <c r="P38" s="38"/>
      <c r="Q38" s="47"/>
      <c r="R38" s="47"/>
      <c r="S38" s="38"/>
      <c r="T38" s="34">
        <v>0</v>
      </c>
      <c r="U38" s="34">
        <v>0</v>
      </c>
      <c r="V38" s="34">
        <v>0</v>
      </c>
      <c r="W38" s="34">
        <v>0</v>
      </c>
      <c r="X38" s="39">
        <f t="shared" si="0"/>
        <v>0</v>
      </c>
    </row>
    <row r="39" spans="1:24" ht="12" customHeight="1" x14ac:dyDescent="0.2">
      <c r="A39" s="3" t="s">
        <v>192</v>
      </c>
      <c r="B39" s="130" t="s">
        <v>168</v>
      </c>
      <c r="C39" s="58"/>
      <c r="D39" s="58"/>
      <c r="E39" s="58"/>
      <c r="F39" s="58"/>
      <c r="G39" s="58"/>
      <c r="H39" s="58"/>
      <c r="I39" s="58"/>
      <c r="J39" s="58"/>
      <c r="K39" s="58"/>
      <c r="L39" s="58"/>
      <c r="M39" s="58"/>
      <c r="N39" s="58"/>
      <c r="O39" s="58"/>
      <c r="P39" s="38"/>
      <c r="Q39" s="47"/>
      <c r="R39" s="47"/>
      <c r="S39" s="38"/>
      <c r="T39" s="34">
        <v>0</v>
      </c>
      <c r="U39" s="34">
        <v>0</v>
      </c>
      <c r="V39" s="34">
        <v>0</v>
      </c>
      <c r="W39" s="34">
        <v>0</v>
      </c>
      <c r="X39" s="39">
        <f>C39*C$17+D39*D$17+E39*E$17+F39*F$17+G39*G$17+H39*H$17+I39*I$17+J39*J$17+K39*K$17++L39*L$17++M39*M$17+N39*N$17+O39*O$17+P39*P$17+R39*R$17+S39*S$17+T39+U39+V39+W39</f>
        <v>0</v>
      </c>
    </row>
    <row r="40" spans="1:24" s="17" customFormat="1" ht="12" customHeight="1" x14ac:dyDescent="0.2">
      <c r="A40" s="60" t="s">
        <v>193</v>
      </c>
      <c r="B40" s="61" t="s">
        <v>129</v>
      </c>
      <c r="C40" s="64">
        <f t="shared" ref="C40:E40" si="6">SUBTOTAL(9,C35:C38)*C17</f>
        <v>0</v>
      </c>
      <c r="D40" s="64">
        <f t="shared" si="6"/>
        <v>0</v>
      </c>
      <c r="E40" s="64">
        <f t="shared" si="6"/>
        <v>0</v>
      </c>
      <c r="F40" s="64">
        <f>SUBTOTAL(9,F35:F39)*F17</f>
        <v>0</v>
      </c>
      <c r="G40" s="64">
        <f t="shared" ref="G40:S40" si="7">SUBTOTAL(9,G35:G39)*G17</f>
        <v>0</v>
      </c>
      <c r="H40" s="64">
        <f t="shared" si="7"/>
        <v>0</v>
      </c>
      <c r="I40" s="64">
        <f t="shared" si="7"/>
        <v>0</v>
      </c>
      <c r="J40" s="64">
        <f t="shared" si="7"/>
        <v>0</v>
      </c>
      <c r="K40" s="64">
        <f t="shared" si="7"/>
        <v>0</v>
      </c>
      <c r="L40" s="64">
        <f t="shared" si="7"/>
        <v>0</v>
      </c>
      <c r="M40" s="64">
        <f t="shared" si="7"/>
        <v>0</v>
      </c>
      <c r="N40" s="64">
        <f t="shared" si="7"/>
        <v>0</v>
      </c>
      <c r="O40" s="64">
        <f t="shared" si="7"/>
        <v>0</v>
      </c>
      <c r="P40" s="64">
        <f t="shared" si="7"/>
        <v>0</v>
      </c>
      <c r="Q40" s="64">
        <f t="shared" si="7"/>
        <v>0</v>
      </c>
      <c r="R40" s="64">
        <f t="shared" si="7"/>
        <v>0</v>
      </c>
      <c r="S40" s="64">
        <f t="shared" si="7"/>
        <v>0</v>
      </c>
      <c r="T40" s="64">
        <f>SUBTOTAL(9,T35:T39)</f>
        <v>0</v>
      </c>
      <c r="U40" s="64">
        <f t="shared" ref="U40:W40" si="8">SUBTOTAL(9,U35:U39)</f>
        <v>0</v>
      </c>
      <c r="V40" s="64">
        <f t="shared" si="8"/>
        <v>0</v>
      </c>
      <c r="W40" s="64">
        <f t="shared" si="8"/>
        <v>0</v>
      </c>
      <c r="X40" s="65">
        <f>SUM(C40:W40)</f>
        <v>0</v>
      </c>
    </row>
    <row r="41" spans="1:24" ht="12" customHeight="1" thickBot="1" x14ac:dyDescent="0.25">
      <c r="A41" s="70" t="s">
        <v>130</v>
      </c>
      <c r="B41" s="71" t="s">
        <v>131</v>
      </c>
      <c r="C41" s="74"/>
      <c r="D41" s="66"/>
      <c r="E41" s="66"/>
      <c r="F41" s="66"/>
      <c r="G41" s="66"/>
      <c r="H41" s="66"/>
      <c r="I41" s="66"/>
      <c r="J41" s="66"/>
      <c r="K41" s="66"/>
      <c r="L41" s="66"/>
      <c r="M41" s="66"/>
      <c r="N41" s="66"/>
      <c r="O41" s="66"/>
      <c r="P41" s="66"/>
      <c r="Q41" s="66"/>
      <c r="R41" s="66"/>
      <c r="S41" s="66"/>
      <c r="T41" s="68"/>
      <c r="U41" s="68"/>
      <c r="V41" s="68"/>
      <c r="W41" s="68"/>
      <c r="X41" s="95"/>
    </row>
    <row r="42" spans="1:24" x14ac:dyDescent="0.2">
      <c r="A42" s="24" t="s">
        <v>194</v>
      </c>
      <c r="B42" s="130" t="s">
        <v>195</v>
      </c>
      <c r="C42" s="46"/>
      <c r="D42" s="35"/>
      <c r="E42" s="35"/>
      <c r="F42" s="35"/>
      <c r="G42" s="35"/>
      <c r="H42" s="35"/>
      <c r="I42" s="35"/>
      <c r="J42" s="35"/>
      <c r="K42" s="35"/>
      <c r="L42" s="35"/>
      <c r="M42" s="35"/>
      <c r="N42" s="35"/>
      <c r="O42" s="35"/>
      <c r="P42" s="35"/>
      <c r="Q42" s="46"/>
      <c r="R42" s="46"/>
      <c r="S42" s="35"/>
      <c r="T42" s="36">
        <v>0</v>
      </c>
      <c r="U42" s="36">
        <v>0</v>
      </c>
      <c r="V42" s="36">
        <v>0</v>
      </c>
      <c r="W42" s="36">
        <v>0</v>
      </c>
      <c r="X42" s="37">
        <f t="shared" si="0"/>
        <v>0</v>
      </c>
    </row>
    <row r="43" spans="1:24" s="17" customFormat="1" ht="12" customHeight="1" x14ac:dyDescent="0.2">
      <c r="A43" s="60" t="s">
        <v>196</v>
      </c>
      <c r="B43" s="61" t="s">
        <v>131</v>
      </c>
      <c r="C43" s="64">
        <f t="shared" ref="C43:S43" si="9">SUBTOTAL(9,C42:C42)*C17</f>
        <v>0</v>
      </c>
      <c r="D43" s="64">
        <f t="shared" si="9"/>
        <v>0</v>
      </c>
      <c r="E43" s="64">
        <f t="shared" si="9"/>
        <v>0</v>
      </c>
      <c r="F43" s="64">
        <f>SUBTOTAL(9,F42:F42)*F17</f>
        <v>0</v>
      </c>
      <c r="G43" s="64">
        <f t="shared" si="9"/>
        <v>0</v>
      </c>
      <c r="H43" s="64">
        <f t="shared" si="9"/>
        <v>0</v>
      </c>
      <c r="I43" s="64">
        <f t="shared" si="9"/>
        <v>0</v>
      </c>
      <c r="J43" s="64">
        <f t="shared" si="9"/>
        <v>0</v>
      </c>
      <c r="K43" s="64">
        <f t="shared" si="9"/>
        <v>0</v>
      </c>
      <c r="L43" s="64">
        <f t="shared" si="9"/>
        <v>0</v>
      </c>
      <c r="M43" s="64">
        <f t="shared" ref="M43" si="10">SUBTOTAL(9,M42:M42)*M17</f>
        <v>0</v>
      </c>
      <c r="N43" s="64">
        <f t="shared" si="9"/>
        <v>0</v>
      </c>
      <c r="O43" s="64">
        <f t="shared" si="9"/>
        <v>0</v>
      </c>
      <c r="P43" s="64">
        <f t="shared" si="9"/>
        <v>0</v>
      </c>
      <c r="Q43" s="64">
        <f t="shared" si="9"/>
        <v>0</v>
      </c>
      <c r="R43" s="64">
        <f t="shared" si="9"/>
        <v>0</v>
      </c>
      <c r="S43" s="64">
        <f t="shared" si="9"/>
        <v>0</v>
      </c>
      <c r="T43" s="64">
        <f t="shared" ref="T43:W43" si="11">SUBTOTAL(9,T42:T42)</f>
        <v>0</v>
      </c>
      <c r="U43" s="64">
        <f t="shared" si="11"/>
        <v>0</v>
      </c>
      <c r="V43" s="64">
        <f t="shared" si="11"/>
        <v>0</v>
      </c>
      <c r="W43" s="64">
        <f t="shared" si="11"/>
        <v>0</v>
      </c>
      <c r="X43" s="65">
        <f>SUM(C43:W43)</f>
        <v>0</v>
      </c>
    </row>
    <row r="44" spans="1:24" ht="12" customHeight="1" thickBot="1" x14ac:dyDescent="0.25">
      <c r="A44" s="70" t="s">
        <v>132</v>
      </c>
      <c r="B44" s="71" t="s">
        <v>133</v>
      </c>
      <c r="C44" s="73"/>
      <c r="D44" s="66"/>
      <c r="E44" s="66"/>
      <c r="F44" s="66"/>
      <c r="G44" s="66"/>
      <c r="H44" s="66"/>
      <c r="I44" s="66"/>
      <c r="J44" s="66"/>
      <c r="K44" s="66"/>
      <c r="L44" s="66"/>
      <c r="M44" s="66"/>
      <c r="N44" s="66"/>
      <c r="O44" s="66"/>
      <c r="P44" s="66"/>
      <c r="Q44" s="66"/>
      <c r="R44" s="66"/>
      <c r="S44" s="66"/>
      <c r="T44" s="68"/>
      <c r="U44" s="68"/>
      <c r="V44" s="68"/>
      <c r="W44" s="68"/>
      <c r="X44" s="95"/>
    </row>
    <row r="45" spans="1:24" ht="12" customHeight="1" x14ac:dyDescent="0.2">
      <c r="A45" s="3" t="s">
        <v>197</v>
      </c>
      <c r="B45" s="130" t="s">
        <v>198</v>
      </c>
      <c r="C45" s="56"/>
      <c r="D45" s="35"/>
      <c r="E45" s="35"/>
      <c r="F45" s="35"/>
      <c r="G45" s="35"/>
      <c r="H45" s="35"/>
      <c r="I45" s="35"/>
      <c r="J45" s="35"/>
      <c r="K45" s="35"/>
      <c r="L45" s="35"/>
      <c r="M45" s="35"/>
      <c r="N45" s="35"/>
      <c r="O45" s="35"/>
      <c r="P45" s="35"/>
      <c r="Q45" s="46"/>
      <c r="R45" s="46"/>
      <c r="S45" s="35"/>
      <c r="T45" s="36">
        <v>0</v>
      </c>
      <c r="U45" s="36">
        <v>0</v>
      </c>
      <c r="V45" s="36">
        <v>0</v>
      </c>
      <c r="W45" s="36">
        <v>0</v>
      </c>
      <c r="X45" s="37">
        <f t="shared" si="0"/>
        <v>0</v>
      </c>
    </row>
    <row r="46" spans="1:24" ht="12" customHeight="1" x14ac:dyDescent="0.2">
      <c r="A46" s="3" t="s">
        <v>199</v>
      </c>
      <c r="B46" s="130" t="s">
        <v>200</v>
      </c>
      <c r="C46" s="47"/>
      <c r="D46" s="38"/>
      <c r="E46" s="38"/>
      <c r="F46" s="38"/>
      <c r="G46" s="38"/>
      <c r="H46" s="38"/>
      <c r="I46" s="38"/>
      <c r="J46" s="38"/>
      <c r="K46" s="38"/>
      <c r="L46" s="38"/>
      <c r="M46" s="38"/>
      <c r="N46" s="38"/>
      <c r="O46" s="38"/>
      <c r="P46" s="38"/>
      <c r="Q46" s="47"/>
      <c r="R46" s="47"/>
      <c r="S46" s="38"/>
      <c r="T46" s="34">
        <v>0</v>
      </c>
      <c r="U46" s="34">
        <v>0</v>
      </c>
      <c r="V46" s="34">
        <v>0</v>
      </c>
      <c r="W46" s="34">
        <v>0</v>
      </c>
      <c r="X46" s="39">
        <f t="shared" si="0"/>
        <v>0</v>
      </c>
    </row>
    <row r="47" spans="1:24" ht="12" customHeight="1" x14ac:dyDescent="0.2">
      <c r="A47" s="3" t="s">
        <v>201</v>
      </c>
      <c r="B47" s="130" t="s">
        <v>202</v>
      </c>
      <c r="C47" s="47"/>
      <c r="D47" s="38"/>
      <c r="E47" s="38"/>
      <c r="F47" s="38"/>
      <c r="G47" s="38"/>
      <c r="H47" s="38"/>
      <c r="I47" s="38"/>
      <c r="J47" s="38"/>
      <c r="K47" s="38"/>
      <c r="L47" s="38"/>
      <c r="M47" s="38"/>
      <c r="N47" s="38"/>
      <c r="O47" s="38"/>
      <c r="P47" s="38"/>
      <c r="Q47" s="47"/>
      <c r="R47" s="47"/>
      <c r="S47" s="38"/>
      <c r="T47" s="34">
        <v>0</v>
      </c>
      <c r="U47" s="34">
        <v>0</v>
      </c>
      <c r="V47" s="34">
        <v>0</v>
      </c>
      <c r="W47" s="34">
        <v>0</v>
      </c>
      <c r="X47" s="39">
        <f t="shared" si="0"/>
        <v>0</v>
      </c>
    </row>
    <row r="48" spans="1:24" ht="12" customHeight="1" x14ac:dyDescent="0.2">
      <c r="A48" s="3" t="s">
        <v>203</v>
      </c>
      <c r="B48" s="130" t="s">
        <v>168</v>
      </c>
      <c r="C48" s="47"/>
      <c r="D48" s="38"/>
      <c r="E48" s="38"/>
      <c r="F48" s="38"/>
      <c r="G48" s="38"/>
      <c r="H48" s="38"/>
      <c r="I48" s="38"/>
      <c r="J48" s="38"/>
      <c r="K48" s="38"/>
      <c r="L48" s="38"/>
      <c r="M48" s="38"/>
      <c r="N48" s="38"/>
      <c r="O48" s="38"/>
      <c r="P48" s="38"/>
      <c r="Q48" s="47"/>
      <c r="R48" s="47"/>
      <c r="S48" s="38"/>
      <c r="T48" s="34">
        <v>0</v>
      </c>
      <c r="U48" s="34">
        <v>0</v>
      </c>
      <c r="V48" s="34">
        <v>0</v>
      </c>
      <c r="W48" s="34">
        <v>0</v>
      </c>
      <c r="X48" s="39">
        <f t="shared" si="0"/>
        <v>0</v>
      </c>
    </row>
    <row r="49" spans="1:24" s="17" customFormat="1" ht="12" customHeight="1" x14ac:dyDescent="0.2">
      <c r="A49" s="60" t="s">
        <v>204</v>
      </c>
      <c r="B49" s="61" t="s">
        <v>205</v>
      </c>
      <c r="C49" s="64">
        <f t="shared" ref="C49:S49" si="12">SUBTOTAL(9,C45:C48)*C17</f>
        <v>0</v>
      </c>
      <c r="D49" s="64">
        <f t="shared" si="12"/>
        <v>0</v>
      </c>
      <c r="E49" s="64">
        <f t="shared" si="12"/>
        <v>0</v>
      </c>
      <c r="F49" s="64">
        <f>SUBTOTAL(9,F45:F48)*F17</f>
        <v>0</v>
      </c>
      <c r="G49" s="64">
        <f t="shared" si="12"/>
        <v>0</v>
      </c>
      <c r="H49" s="64">
        <f t="shared" si="12"/>
        <v>0</v>
      </c>
      <c r="I49" s="64">
        <f t="shared" si="12"/>
        <v>0</v>
      </c>
      <c r="J49" s="64">
        <f t="shared" si="12"/>
        <v>0</v>
      </c>
      <c r="K49" s="64">
        <f t="shared" si="12"/>
        <v>0</v>
      </c>
      <c r="L49" s="64">
        <f t="shared" si="12"/>
        <v>0</v>
      </c>
      <c r="M49" s="64">
        <f t="shared" ref="M49" si="13">SUBTOTAL(9,M45:M48)*M17</f>
        <v>0</v>
      </c>
      <c r="N49" s="64">
        <f t="shared" si="12"/>
        <v>0</v>
      </c>
      <c r="O49" s="64">
        <f t="shared" si="12"/>
        <v>0</v>
      </c>
      <c r="P49" s="64">
        <f t="shared" si="12"/>
        <v>0</v>
      </c>
      <c r="Q49" s="64">
        <f t="shared" si="12"/>
        <v>0</v>
      </c>
      <c r="R49" s="64">
        <f t="shared" si="12"/>
        <v>0</v>
      </c>
      <c r="S49" s="64">
        <f t="shared" si="12"/>
        <v>0</v>
      </c>
      <c r="T49" s="64">
        <f t="shared" ref="T49:W49" si="14">SUBTOTAL(9,T45:T48)</f>
        <v>0</v>
      </c>
      <c r="U49" s="64">
        <f t="shared" si="14"/>
        <v>0</v>
      </c>
      <c r="V49" s="64">
        <f t="shared" si="14"/>
        <v>0</v>
      </c>
      <c r="W49" s="64">
        <f t="shared" si="14"/>
        <v>0</v>
      </c>
      <c r="X49" s="65">
        <f>SUM(C49:W49)</f>
        <v>0</v>
      </c>
    </row>
    <row r="50" spans="1:24" ht="12" customHeight="1" thickBot="1" x14ac:dyDescent="0.25">
      <c r="A50" s="70" t="s">
        <v>134</v>
      </c>
      <c r="B50" s="71" t="s">
        <v>135</v>
      </c>
      <c r="C50" s="72"/>
      <c r="D50" s="66"/>
      <c r="E50" s="66"/>
      <c r="F50" s="66"/>
      <c r="G50" s="66"/>
      <c r="H50" s="66"/>
      <c r="I50" s="66"/>
      <c r="J50" s="66"/>
      <c r="K50" s="66"/>
      <c r="L50" s="66"/>
      <c r="M50" s="66"/>
      <c r="N50" s="66"/>
      <c r="O50" s="66"/>
      <c r="P50" s="66"/>
      <c r="Q50" s="66"/>
      <c r="R50" s="66"/>
      <c r="S50" s="66"/>
      <c r="T50" s="68"/>
      <c r="U50" s="68"/>
      <c r="V50" s="68"/>
      <c r="W50" s="68"/>
      <c r="X50" s="95"/>
    </row>
    <row r="51" spans="1:24" ht="12" customHeight="1" x14ac:dyDescent="0.2">
      <c r="A51" s="3" t="s">
        <v>206</v>
      </c>
      <c r="B51" s="130" t="s">
        <v>198</v>
      </c>
      <c r="C51" s="46"/>
      <c r="D51" s="35"/>
      <c r="E51" s="35"/>
      <c r="F51" s="35"/>
      <c r="G51" s="35"/>
      <c r="H51" s="35"/>
      <c r="I51" s="35"/>
      <c r="J51" s="35"/>
      <c r="K51" s="35"/>
      <c r="L51" s="35"/>
      <c r="M51" s="35"/>
      <c r="N51" s="35"/>
      <c r="O51" s="35"/>
      <c r="P51" s="35"/>
      <c r="Q51" s="46"/>
      <c r="R51" s="46"/>
      <c r="S51" s="35"/>
      <c r="T51" s="36">
        <v>0</v>
      </c>
      <c r="U51" s="36">
        <v>0</v>
      </c>
      <c r="V51" s="36">
        <v>0</v>
      </c>
      <c r="W51" s="36">
        <v>0</v>
      </c>
      <c r="X51" s="37">
        <f t="shared" si="0"/>
        <v>0</v>
      </c>
    </row>
    <row r="52" spans="1:24" ht="12" customHeight="1" x14ac:dyDescent="0.2">
      <c r="A52" s="3" t="s">
        <v>207</v>
      </c>
      <c r="B52" s="130" t="s">
        <v>208</v>
      </c>
      <c r="C52" s="47"/>
      <c r="D52" s="38"/>
      <c r="E52" s="38"/>
      <c r="F52" s="38"/>
      <c r="G52" s="38"/>
      <c r="H52" s="38"/>
      <c r="I52" s="38"/>
      <c r="J52" s="38"/>
      <c r="K52" s="38"/>
      <c r="L52" s="38"/>
      <c r="M52" s="38"/>
      <c r="N52" s="38"/>
      <c r="O52" s="38"/>
      <c r="P52" s="38"/>
      <c r="Q52" s="47"/>
      <c r="R52" s="47"/>
      <c r="S52" s="38"/>
      <c r="T52" s="34">
        <v>0</v>
      </c>
      <c r="U52" s="34">
        <v>0</v>
      </c>
      <c r="V52" s="34">
        <v>0</v>
      </c>
      <c r="W52" s="34">
        <v>0</v>
      </c>
      <c r="X52" s="39">
        <f t="shared" si="0"/>
        <v>0</v>
      </c>
    </row>
    <row r="53" spans="1:24" ht="12" customHeight="1" x14ac:dyDescent="0.2">
      <c r="A53" s="3" t="s">
        <v>209</v>
      </c>
      <c r="B53" s="130" t="s">
        <v>210</v>
      </c>
      <c r="C53" s="47"/>
      <c r="D53" s="38"/>
      <c r="E53" s="38"/>
      <c r="F53" s="38"/>
      <c r="G53" s="38"/>
      <c r="H53" s="38"/>
      <c r="I53" s="38"/>
      <c r="J53" s="38"/>
      <c r="K53" s="38"/>
      <c r="L53" s="38"/>
      <c r="M53" s="38"/>
      <c r="N53" s="38"/>
      <c r="O53" s="38"/>
      <c r="P53" s="38"/>
      <c r="Q53" s="47"/>
      <c r="R53" s="47"/>
      <c r="S53" s="38"/>
      <c r="T53" s="34">
        <v>0</v>
      </c>
      <c r="U53" s="34">
        <v>0</v>
      </c>
      <c r="V53" s="34">
        <v>0</v>
      </c>
      <c r="W53" s="34">
        <v>0</v>
      </c>
      <c r="X53" s="39">
        <f t="shared" si="0"/>
        <v>0</v>
      </c>
    </row>
    <row r="54" spans="1:24" ht="12" customHeight="1" x14ac:dyDescent="0.2">
      <c r="A54" s="3" t="s">
        <v>211</v>
      </c>
      <c r="B54" s="130" t="s">
        <v>212</v>
      </c>
      <c r="C54" s="47"/>
      <c r="D54" s="38"/>
      <c r="E54" s="38"/>
      <c r="F54" s="38"/>
      <c r="G54" s="38"/>
      <c r="H54" s="38"/>
      <c r="I54" s="38"/>
      <c r="J54" s="38"/>
      <c r="K54" s="38"/>
      <c r="L54" s="38"/>
      <c r="M54" s="38"/>
      <c r="N54" s="38"/>
      <c r="O54" s="38"/>
      <c r="P54" s="38"/>
      <c r="Q54" s="47"/>
      <c r="R54" s="47"/>
      <c r="S54" s="38"/>
      <c r="T54" s="34">
        <v>0</v>
      </c>
      <c r="U54" s="34">
        <v>0</v>
      </c>
      <c r="V54" s="34">
        <v>0</v>
      </c>
      <c r="W54" s="34">
        <v>0</v>
      </c>
      <c r="X54" s="39">
        <f t="shared" si="0"/>
        <v>0</v>
      </c>
    </row>
    <row r="55" spans="1:24" ht="12" customHeight="1" x14ac:dyDescent="0.2">
      <c r="A55" s="3" t="s">
        <v>213</v>
      </c>
      <c r="B55" s="130" t="s">
        <v>168</v>
      </c>
      <c r="C55" s="47"/>
      <c r="D55" s="38"/>
      <c r="E55" s="38"/>
      <c r="F55" s="38"/>
      <c r="G55" s="38"/>
      <c r="H55" s="38"/>
      <c r="I55" s="38"/>
      <c r="J55" s="38"/>
      <c r="K55" s="38"/>
      <c r="L55" s="38"/>
      <c r="M55" s="38"/>
      <c r="N55" s="38"/>
      <c r="O55" s="38"/>
      <c r="P55" s="38"/>
      <c r="Q55" s="47"/>
      <c r="R55" s="47"/>
      <c r="S55" s="38"/>
      <c r="T55" s="34">
        <v>0</v>
      </c>
      <c r="U55" s="34">
        <v>0</v>
      </c>
      <c r="V55" s="34">
        <v>0</v>
      </c>
      <c r="W55" s="34">
        <v>0</v>
      </c>
      <c r="X55" s="39">
        <f t="shared" si="0"/>
        <v>0</v>
      </c>
    </row>
    <row r="56" spans="1:24" s="17" customFormat="1" ht="12" customHeight="1" x14ac:dyDescent="0.2">
      <c r="A56" s="60" t="s">
        <v>214</v>
      </c>
      <c r="B56" s="61" t="s">
        <v>135</v>
      </c>
      <c r="C56" s="64">
        <f t="shared" ref="C56:S56" si="15">SUBTOTAL(9,C51:C55)*C17</f>
        <v>0</v>
      </c>
      <c r="D56" s="64">
        <f t="shared" si="15"/>
        <v>0</v>
      </c>
      <c r="E56" s="64">
        <f t="shared" si="15"/>
        <v>0</v>
      </c>
      <c r="F56" s="64">
        <f>SUBTOTAL(9,F51:F55)*F17</f>
        <v>0</v>
      </c>
      <c r="G56" s="64">
        <f t="shared" si="15"/>
        <v>0</v>
      </c>
      <c r="H56" s="64">
        <f t="shared" si="15"/>
        <v>0</v>
      </c>
      <c r="I56" s="64">
        <f t="shared" si="15"/>
        <v>0</v>
      </c>
      <c r="J56" s="64">
        <f t="shared" si="15"/>
        <v>0</v>
      </c>
      <c r="K56" s="64">
        <f t="shared" si="15"/>
        <v>0</v>
      </c>
      <c r="L56" s="64">
        <f t="shared" si="15"/>
        <v>0</v>
      </c>
      <c r="M56" s="64">
        <f t="shared" ref="M56" si="16">SUBTOTAL(9,M51:M55)*M17</f>
        <v>0</v>
      </c>
      <c r="N56" s="64">
        <f t="shared" si="15"/>
        <v>0</v>
      </c>
      <c r="O56" s="64">
        <f t="shared" si="15"/>
        <v>0</v>
      </c>
      <c r="P56" s="64">
        <f t="shared" si="15"/>
        <v>0</v>
      </c>
      <c r="Q56" s="64">
        <f t="shared" si="15"/>
        <v>0</v>
      </c>
      <c r="R56" s="64">
        <f t="shared" si="15"/>
        <v>0</v>
      </c>
      <c r="S56" s="64">
        <f t="shared" si="15"/>
        <v>0</v>
      </c>
      <c r="T56" s="64">
        <f t="shared" ref="T56:W56" si="17">SUBTOTAL(9,T51:T55)</f>
        <v>0</v>
      </c>
      <c r="U56" s="64">
        <f t="shared" si="17"/>
        <v>0</v>
      </c>
      <c r="V56" s="64">
        <f t="shared" si="17"/>
        <v>0</v>
      </c>
      <c r="W56" s="64">
        <f t="shared" si="17"/>
        <v>0</v>
      </c>
      <c r="X56" s="65">
        <f>SUM(C56:W56)</f>
        <v>0</v>
      </c>
    </row>
    <row r="57" spans="1:24" ht="12" customHeight="1" thickBot="1" x14ac:dyDescent="0.25">
      <c r="A57" s="70" t="s">
        <v>136</v>
      </c>
      <c r="B57" s="71" t="s">
        <v>137</v>
      </c>
      <c r="C57" s="66"/>
      <c r="D57" s="66"/>
      <c r="E57" s="66"/>
      <c r="F57" s="66"/>
      <c r="G57" s="66"/>
      <c r="H57" s="66"/>
      <c r="I57" s="66"/>
      <c r="J57" s="66"/>
      <c r="K57" s="66"/>
      <c r="L57" s="66"/>
      <c r="M57" s="66"/>
      <c r="N57" s="66"/>
      <c r="O57" s="66"/>
      <c r="P57" s="66"/>
      <c r="Q57" s="66"/>
      <c r="R57" s="66"/>
      <c r="S57" s="66"/>
      <c r="T57" s="68"/>
      <c r="U57" s="68"/>
      <c r="V57" s="68"/>
      <c r="W57" s="68"/>
      <c r="X57" s="95"/>
    </row>
    <row r="58" spans="1:24" ht="12" customHeight="1" x14ac:dyDescent="0.2">
      <c r="A58" s="3" t="s">
        <v>215</v>
      </c>
      <c r="B58" s="130" t="s">
        <v>198</v>
      </c>
      <c r="C58" s="46"/>
      <c r="D58" s="35"/>
      <c r="E58" s="35"/>
      <c r="F58" s="35"/>
      <c r="G58" s="35"/>
      <c r="H58" s="35"/>
      <c r="I58" s="35"/>
      <c r="J58" s="35"/>
      <c r="K58" s="35"/>
      <c r="L58" s="35"/>
      <c r="M58" s="35"/>
      <c r="N58" s="35"/>
      <c r="O58" s="35"/>
      <c r="P58" s="35"/>
      <c r="Q58" s="46"/>
      <c r="R58" s="46"/>
      <c r="S58" s="35"/>
      <c r="T58" s="36">
        <v>0</v>
      </c>
      <c r="U58" s="36">
        <v>0</v>
      </c>
      <c r="V58" s="36">
        <v>0</v>
      </c>
      <c r="W58" s="36">
        <v>0</v>
      </c>
      <c r="X58" s="37">
        <f t="shared" si="0"/>
        <v>0</v>
      </c>
    </row>
    <row r="59" spans="1:24" ht="12" customHeight="1" x14ac:dyDescent="0.2">
      <c r="A59" s="3" t="s">
        <v>216</v>
      </c>
      <c r="B59" s="130" t="s">
        <v>217</v>
      </c>
      <c r="C59" s="47"/>
      <c r="D59" s="38"/>
      <c r="E59" s="38"/>
      <c r="F59" s="38"/>
      <c r="G59" s="38"/>
      <c r="H59" s="38"/>
      <c r="I59" s="38"/>
      <c r="J59" s="38"/>
      <c r="K59" s="38"/>
      <c r="L59" s="38"/>
      <c r="M59" s="38"/>
      <c r="N59" s="38"/>
      <c r="O59" s="38"/>
      <c r="P59" s="38"/>
      <c r="Q59" s="47"/>
      <c r="R59" s="47"/>
      <c r="S59" s="38"/>
      <c r="T59" s="34">
        <v>0</v>
      </c>
      <c r="U59" s="34">
        <v>0</v>
      </c>
      <c r="V59" s="34">
        <v>0</v>
      </c>
      <c r="W59" s="34">
        <v>0</v>
      </c>
      <c r="X59" s="39">
        <f t="shared" si="0"/>
        <v>0</v>
      </c>
    </row>
    <row r="60" spans="1:24" ht="12" customHeight="1" x14ac:dyDescent="0.2">
      <c r="A60" s="3" t="s">
        <v>218</v>
      </c>
      <c r="B60" s="130" t="s">
        <v>219</v>
      </c>
      <c r="C60" s="47"/>
      <c r="D60" s="38"/>
      <c r="E60" s="38"/>
      <c r="F60" s="38"/>
      <c r="G60" s="38"/>
      <c r="H60" s="38"/>
      <c r="I60" s="38"/>
      <c r="J60" s="38"/>
      <c r="K60" s="38"/>
      <c r="L60" s="38"/>
      <c r="M60" s="38"/>
      <c r="N60" s="38"/>
      <c r="O60" s="38"/>
      <c r="P60" s="38"/>
      <c r="Q60" s="47"/>
      <c r="R60" s="47"/>
      <c r="S60" s="38"/>
      <c r="T60" s="34">
        <v>0</v>
      </c>
      <c r="U60" s="34">
        <v>0</v>
      </c>
      <c r="V60" s="34">
        <v>0</v>
      </c>
      <c r="W60" s="34">
        <v>0</v>
      </c>
      <c r="X60" s="39">
        <f t="shared" si="0"/>
        <v>0</v>
      </c>
    </row>
    <row r="61" spans="1:24" ht="12" customHeight="1" x14ac:dyDescent="0.2">
      <c r="A61" s="3" t="s">
        <v>220</v>
      </c>
      <c r="B61" s="130" t="s">
        <v>221</v>
      </c>
      <c r="C61" s="47"/>
      <c r="D61" s="38"/>
      <c r="E61" s="38"/>
      <c r="F61" s="38"/>
      <c r="G61" s="38"/>
      <c r="H61" s="38"/>
      <c r="I61" s="38"/>
      <c r="J61" s="38"/>
      <c r="K61" s="38"/>
      <c r="L61" s="38"/>
      <c r="M61" s="38"/>
      <c r="N61" s="38"/>
      <c r="O61" s="38"/>
      <c r="P61" s="38"/>
      <c r="Q61" s="47"/>
      <c r="R61" s="47"/>
      <c r="S61" s="38"/>
      <c r="T61" s="34">
        <v>0</v>
      </c>
      <c r="U61" s="34">
        <v>0</v>
      </c>
      <c r="V61" s="34">
        <v>0</v>
      </c>
      <c r="W61" s="34">
        <v>0</v>
      </c>
      <c r="X61" s="39">
        <f t="shared" si="0"/>
        <v>0</v>
      </c>
    </row>
    <row r="62" spans="1:24" ht="12" customHeight="1" x14ac:dyDescent="0.2">
      <c r="A62" s="3" t="s">
        <v>222</v>
      </c>
      <c r="B62" s="130" t="s">
        <v>223</v>
      </c>
      <c r="C62" s="47"/>
      <c r="D62" s="38"/>
      <c r="E62" s="38"/>
      <c r="F62" s="38"/>
      <c r="G62" s="38"/>
      <c r="H62" s="38"/>
      <c r="I62" s="38"/>
      <c r="J62" s="38"/>
      <c r="K62" s="38"/>
      <c r="L62" s="38"/>
      <c r="M62" s="38"/>
      <c r="N62" s="38"/>
      <c r="O62" s="38"/>
      <c r="P62" s="38"/>
      <c r="Q62" s="47"/>
      <c r="R62" s="47"/>
      <c r="S62" s="38"/>
      <c r="T62" s="34">
        <v>0</v>
      </c>
      <c r="U62" s="34">
        <v>0</v>
      </c>
      <c r="V62" s="34">
        <v>0</v>
      </c>
      <c r="W62" s="34">
        <v>0</v>
      </c>
      <c r="X62" s="39">
        <f t="shared" si="0"/>
        <v>0</v>
      </c>
    </row>
    <row r="63" spans="1:24" ht="12" customHeight="1" x14ac:dyDescent="0.2">
      <c r="A63" s="3" t="s">
        <v>224</v>
      </c>
      <c r="B63" s="130" t="s">
        <v>225</v>
      </c>
      <c r="C63" s="47"/>
      <c r="D63" s="38"/>
      <c r="E63" s="38"/>
      <c r="F63" s="38"/>
      <c r="G63" s="38"/>
      <c r="H63" s="38"/>
      <c r="I63" s="38"/>
      <c r="J63" s="38"/>
      <c r="K63" s="38"/>
      <c r="L63" s="38"/>
      <c r="M63" s="38"/>
      <c r="N63" s="38"/>
      <c r="O63" s="38"/>
      <c r="P63" s="38"/>
      <c r="Q63" s="47"/>
      <c r="R63" s="47"/>
      <c r="S63" s="38"/>
      <c r="T63" s="34">
        <v>0</v>
      </c>
      <c r="U63" s="34">
        <v>0</v>
      </c>
      <c r="V63" s="34">
        <v>0</v>
      </c>
      <c r="W63" s="34">
        <v>0</v>
      </c>
      <c r="X63" s="39">
        <f t="shared" si="0"/>
        <v>0</v>
      </c>
    </row>
    <row r="64" spans="1:24" ht="12" customHeight="1" x14ac:dyDescent="0.2">
      <c r="A64" s="3" t="s">
        <v>226</v>
      </c>
      <c r="B64" s="130" t="s">
        <v>227</v>
      </c>
      <c r="C64" s="47"/>
      <c r="D64" s="38"/>
      <c r="E64" s="38"/>
      <c r="F64" s="38"/>
      <c r="G64" s="38"/>
      <c r="H64" s="38"/>
      <c r="I64" s="38"/>
      <c r="J64" s="38"/>
      <c r="K64" s="38"/>
      <c r="L64" s="38"/>
      <c r="M64" s="38"/>
      <c r="N64" s="38"/>
      <c r="O64" s="38"/>
      <c r="P64" s="38"/>
      <c r="Q64" s="47"/>
      <c r="R64" s="47"/>
      <c r="S64" s="38"/>
      <c r="T64" s="34">
        <v>0</v>
      </c>
      <c r="U64" s="34">
        <v>0</v>
      </c>
      <c r="V64" s="34">
        <v>0</v>
      </c>
      <c r="W64" s="34">
        <v>0</v>
      </c>
      <c r="X64" s="39">
        <f t="shared" si="0"/>
        <v>0</v>
      </c>
    </row>
    <row r="65" spans="1:26" ht="12" customHeight="1" x14ac:dyDescent="0.2">
      <c r="A65" s="3" t="s">
        <v>228</v>
      </c>
      <c r="B65" s="130" t="s">
        <v>229</v>
      </c>
      <c r="C65" s="47"/>
      <c r="D65" s="38"/>
      <c r="E65" s="38"/>
      <c r="F65" s="38"/>
      <c r="G65" s="38"/>
      <c r="H65" s="38"/>
      <c r="I65" s="38"/>
      <c r="J65" s="38"/>
      <c r="K65" s="38"/>
      <c r="L65" s="38"/>
      <c r="M65" s="38"/>
      <c r="N65" s="38"/>
      <c r="O65" s="38"/>
      <c r="P65" s="38"/>
      <c r="Q65" s="47"/>
      <c r="R65" s="47"/>
      <c r="S65" s="38"/>
      <c r="T65" s="34">
        <v>0</v>
      </c>
      <c r="U65" s="34">
        <v>0</v>
      </c>
      <c r="V65" s="34">
        <v>0</v>
      </c>
      <c r="W65" s="34">
        <v>0</v>
      </c>
      <c r="X65" s="39">
        <f t="shared" si="0"/>
        <v>0</v>
      </c>
    </row>
    <row r="66" spans="1:26" ht="12" customHeight="1" x14ac:dyDescent="0.2">
      <c r="A66" s="3" t="s">
        <v>230</v>
      </c>
      <c r="B66" s="130" t="s">
        <v>183</v>
      </c>
      <c r="C66" s="47"/>
      <c r="D66" s="38"/>
      <c r="E66" s="38"/>
      <c r="F66" s="38"/>
      <c r="G66" s="38"/>
      <c r="H66" s="38"/>
      <c r="I66" s="38"/>
      <c r="J66" s="38"/>
      <c r="K66" s="38"/>
      <c r="L66" s="38"/>
      <c r="M66" s="38"/>
      <c r="N66" s="38"/>
      <c r="O66" s="38"/>
      <c r="P66" s="38"/>
      <c r="Q66" s="47"/>
      <c r="R66" s="47"/>
      <c r="S66" s="38"/>
      <c r="T66" s="34">
        <v>0</v>
      </c>
      <c r="U66" s="34">
        <v>0</v>
      </c>
      <c r="V66" s="34">
        <v>0</v>
      </c>
      <c r="W66" s="34">
        <v>0</v>
      </c>
      <c r="X66" s="39">
        <f t="shared" si="0"/>
        <v>0</v>
      </c>
    </row>
    <row r="67" spans="1:26" ht="12" customHeight="1" x14ac:dyDescent="0.2">
      <c r="A67" s="3" t="s">
        <v>231</v>
      </c>
      <c r="B67" s="130" t="s">
        <v>168</v>
      </c>
      <c r="C67" s="58"/>
      <c r="D67" s="58"/>
      <c r="E67" s="58"/>
      <c r="F67" s="58"/>
      <c r="G67" s="58"/>
      <c r="H67" s="58"/>
      <c r="I67" s="58"/>
      <c r="J67" s="58"/>
      <c r="K67" s="58"/>
      <c r="L67" s="58"/>
      <c r="M67" s="58"/>
      <c r="N67" s="58"/>
      <c r="O67" s="58"/>
      <c r="P67" s="58"/>
      <c r="Q67" s="58"/>
      <c r="R67" s="58"/>
      <c r="S67" s="58"/>
      <c r="T67" s="34">
        <v>0</v>
      </c>
      <c r="U67" s="34">
        <v>0</v>
      </c>
      <c r="V67" s="34">
        <v>0</v>
      </c>
      <c r="W67" s="34">
        <v>0</v>
      </c>
      <c r="X67" s="39">
        <f t="shared" si="0"/>
        <v>0</v>
      </c>
    </row>
    <row r="68" spans="1:26" s="17" customFormat="1" ht="12" customHeight="1" x14ac:dyDescent="0.2">
      <c r="A68" s="60" t="s">
        <v>232</v>
      </c>
      <c r="B68" s="61" t="s">
        <v>137</v>
      </c>
      <c r="C68" s="64">
        <f t="shared" ref="C68:E68" si="18">SUBTOTAL(9,C58:C66)*C17</f>
        <v>0</v>
      </c>
      <c r="D68" s="64">
        <f t="shared" si="18"/>
        <v>0</v>
      </c>
      <c r="E68" s="64">
        <f t="shared" si="18"/>
        <v>0</v>
      </c>
      <c r="F68" s="64">
        <f>SUBTOTAL(9,F58:F67)*F17</f>
        <v>0</v>
      </c>
      <c r="G68" s="64">
        <f t="shared" ref="G68:W68" si="19">SUBTOTAL(9,G58:G67)*G17</f>
        <v>0</v>
      </c>
      <c r="H68" s="64">
        <f t="shared" si="19"/>
        <v>0</v>
      </c>
      <c r="I68" s="64">
        <f t="shared" si="19"/>
        <v>0</v>
      </c>
      <c r="J68" s="64">
        <f t="shared" si="19"/>
        <v>0</v>
      </c>
      <c r="K68" s="64">
        <f t="shared" si="19"/>
        <v>0</v>
      </c>
      <c r="L68" s="64">
        <f t="shared" si="19"/>
        <v>0</v>
      </c>
      <c r="M68" s="64">
        <f t="shared" si="19"/>
        <v>0</v>
      </c>
      <c r="N68" s="64">
        <f t="shared" si="19"/>
        <v>0</v>
      </c>
      <c r="O68" s="64">
        <f t="shared" si="19"/>
        <v>0</v>
      </c>
      <c r="P68" s="64">
        <f t="shared" si="19"/>
        <v>0</v>
      </c>
      <c r="Q68" s="64">
        <f t="shared" si="19"/>
        <v>0</v>
      </c>
      <c r="R68" s="64">
        <f t="shared" si="19"/>
        <v>0</v>
      </c>
      <c r="S68" s="64">
        <f t="shared" si="19"/>
        <v>0</v>
      </c>
      <c r="T68" s="64" t="e">
        <f t="shared" si="19"/>
        <v>#VALUE!</v>
      </c>
      <c r="U68" s="64">
        <f t="shared" si="19"/>
        <v>0</v>
      </c>
      <c r="V68" s="64">
        <f t="shared" si="19"/>
        <v>0</v>
      </c>
      <c r="W68" s="64">
        <f t="shared" si="19"/>
        <v>0</v>
      </c>
      <c r="X68" s="65" t="e">
        <f>SUM(C68:W68)</f>
        <v>#VALUE!</v>
      </c>
    </row>
    <row r="69" spans="1:26" ht="12" customHeight="1" thickBot="1" x14ac:dyDescent="0.25">
      <c r="A69" s="70" t="s">
        <v>138</v>
      </c>
      <c r="B69" s="71" t="s">
        <v>139</v>
      </c>
      <c r="C69" s="66"/>
      <c r="D69" s="66"/>
      <c r="E69" s="66"/>
      <c r="F69" s="66"/>
      <c r="G69" s="66"/>
      <c r="H69" s="66"/>
      <c r="I69" s="66"/>
      <c r="J69" s="66"/>
      <c r="K69" s="66"/>
      <c r="L69" s="66"/>
      <c r="M69" s="66"/>
      <c r="N69" s="66"/>
      <c r="O69" s="66"/>
      <c r="P69" s="66"/>
      <c r="Q69" s="66"/>
      <c r="R69" s="66"/>
      <c r="S69" s="66"/>
      <c r="T69" s="68"/>
      <c r="U69" s="68"/>
      <c r="V69" s="68"/>
      <c r="W69" s="68"/>
      <c r="X69" s="95"/>
    </row>
    <row r="70" spans="1:26" ht="12" customHeight="1" x14ac:dyDescent="0.2">
      <c r="A70" s="8" t="s">
        <v>233</v>
      </c>
      <c r="B70" s="130" t="s">
        <v>234</v>
      </c>
      <c r="C70" s="46"/>
      <c r="D70" s="35"/>
      <c r="E70" s="35"/>
      <c r="F70" s="35"/>
      <c r="G70" s="35"/>
      <c r="H70" s="35"/>
      <c r="I70" s="35"/>
      <c r="J70" s="35"/>
      <c r="K70" s="35"/>
      <c r="L70" s="35"/>
      <c r="M70" s="35"/>
      <c r="N70" s="35"/>
      <c r="O70" s="35"/>
      <c r="P70" s="35"/>
      <c r="Q70" s="46"/>
      <c r="R70" s="46"/>
      <c r="S70" s="35"/>
      <c r="T70" s="36">
        <v>0</v>
      </c>
      <c r="U70" s="36">
        <v>0</v>
      </c>
      <c r="V70" s="36">
        <v>0</v>
      </c>
      <c r="W70" s="36">
        <v>0</v>
      </c>
      <c r="X70" s="37">
        <f t="shared" si="0"/>
        <v>0</v>
      </c>
    </row>
    <row r="71" spans="1:26" ht="12" customHeight="1" x14ac:dyDescent="0.2">
      <c r="A71" s="8" t="s">
        <v>235</v>
      </c>
      <c r="B71" s="130" t="s">
        <v>221</v>
      </c>
      <c r="C71" s="47"/>
      <c r="D71" s="38"/>
      <c r="E71" s="38"/>
      <c r="F71" s="38"/>
      <c r="G71" s="38"/>
      <c r="H71" s="38"/>
      <c r="I71" s="38"/>
      <c r="J71" s="38"/>
      <c r="K71" s="38"/>
      <c r="L71" s="38"/>
      <c r="M71" s="38"/>
      <c r="N71" s="38"/>
      <c r="O71" s="38"/>
      <c r="P71" s="38"/>
      <c r="Q71" s="47"/>
      <c r="R71" s="47"/>
      <c r="S71" s="38"/>
      <c r="T71" s="34">
        <v>0</v>
      </c>
      <c r="U71" s="34">
        <v>0</v>
      </c>
      <c r="V71" s="34">
        <v>0</v>
      </c>
      <c r="W71" s="34">
        <v>0</v>
      </c>
      <c r="X71" s="39">
        <f t="shared" si="0"/>
        <v>0</v>
      </c>
    </row>
    <row r="72" spans="1:26" ht="12" customHeight="1" x14ac:dyDescent="0.2">
      <c r="A72" s="8" t="s">
        <v>236</v>
      </c>
      <c r="B72" s="130" t="s">
        <v>237</v>
      </c>
      <c r="C72" s="47"/>
      <c r="D72" s="38"/>
      <c r="E72" s="38"/>
      <c r="F72" s="38"/>
      <c r="G72" s="38"/>
      <c r="H72" s="38"/>
      <c r="I72" s="38"/>
      <c r="J72" s="38"/>
      <c r="K72" s="38"/>
      <c r="L72" s="38"/>
      <c r="M72" s="38"/>
      <c r="N72" s="38"/>
      <c r="O72" s="38"/>
      <c r="P72" s="38"/>
      <c r="Q72" s="47"/>
      <c r="R72" s="47"/>
      <c r="S72" s="38"/>
      <c r="T72" s="34">
        <v>0</v>
      </c>
      <c r="U72" s="34">
        <v>0</v>
      </c>
      <c r="V72" s="34">
        <v>0</v>
      </c>
      <c r="W72" s="34">
        <v>0</v>
      </c>
      <c r="X72" s="39">
        <f t="shared" si="0"/>
        <v>0</v>
      </c>
    </row>
    <row r="73" spans="1:26" ht="12" customHeight="1" x14ac:dyDescent="0.2">
      <c r="A73" s="8" t="s">
        <v>238</v>
      </c>
      <c r="B73" s="130" t="s">
        <v>239</v>
      </c>
      <c r="C73" s="47"/>
      <c r="D73" s="38"/>
      <c r="E73" s="38"/>
      <c r="F73" s="38"/>
      <c r="G73" s="38"/>
      <c r="H73" s="38"/>
      <c r="I73" s="38"/>
      <c r="J73" s="38"/>
      <c r="K73" s="38"/>
      <c r="L73" s="38"/>
      <c r="M73" s="38"/>
      <c r="N73" s="38"/>
      <c r="O73" s="38"/>
      <c r="P73" s="38"/>
      <c r="Q73" s="47"/>
      <c r="R73" s="47"/>
      <c r="S73" s="38"/>
      <c r="T73" s="34">
        <v>0</v>
      </c>
      <c r="U73" s="34">
        <v>0</v>
      </c>
      <c r="V73" s="34">
        <v>0</v>
      </c>
      <c r="W73" s="34">
        <v>0</v>
      </c>
      <c r="X73" s="39">
        <f t="shared" si="0"/>
        <v>0</v>
      </c>
    </row>
    <row r="74" spans="1:26" ht="12" customHeight="1" x14ac:dyDescent="0.2">
      <c r="A74" s="8" t="s">
        <v>240</v>
      </c>
      <c r="B74" s="130" t="s">
        <v>241</v>
      </c>
      <c r="C74" s="47"/>
      <c r="D74" s="38"/>
      <c r="E74" s="38"/>
      <c r="F74" s="38"/>
      <c r="G74" s="38"/>
      <c r="H74" s="38"/>
      <c r="I74" s="38"/>
      <c r="J74" s="38"/>
      <c r="K74" s="38"/>
      <c r="L74" s="38"/>
      <c r="M74" s="38"/>
      <c r="N74" s="38"/>
      <c r="O74" s="38"/>
      <c r="P74" s="38"/>
      <c r="Q74" s="47"/>
      <c r="R74" s="47"/>
      <c r="S74" s="38"/>
      <c r="T74" s="34">
        <v>0</v>
      </c>
      <c r="U74" s="34">
        <v>0</v>
      </c>
      <c r="V74" s="34">
        <v>0</v>
      </c>
      <c r="W74" s="34">
        <v>0</v>
      </c>
      <c r="X74" s="39">
        <f t="shared" si="0"/>
        <v>0</v>
      </c>
    </row>
    <row r="75" spans="1:26" ht="12" customHeight="1" x14ac:dyDescent="0.2">
      <c r="A75" s="8" t="s">
        <v>242</v>
      </c>
      <c r="B75" s="130" t="s">
        <v>243</v>
      </c>
      <c r="C75" s="47"/>
      <c r="D75" s="38"/>
      <c r="E75" s="38"/>
      <c r="F75" s="38"/>
      <c r="G75" s="38"/>
      <c r="H75" s="38"/>
      <c r="I75" s="38"/>
      <c r="J75" s="38"/>
      <c r="K75" s="38"/>
      <c r="L75" s="38"/>
      <c r="M75" s="38"/>
      <c r="N75" s="38"/>
      <c r="O75" s="38"/>
      <c r="P75" s="38"/>
      <c r="Q75" s="47"/>
      <c r="R75" s="47"/>
      <c r="S75" s="38"/>
      <c r="T75" s="34">
        <v>0</v>
      </c>
      <c r="U75" s="34">
        <v>0</v>
      </c>
      <c r="V75" s="34">
        <v>0</v>
      </c>
      <c r="W75" s="34">
        <v>0</v>
      </c>
      <c r="X75" s="39">
        <f t="shared" si="0"/>
        <v>0</v>
      </c>
    </row>
    <row r="76" spans="1:26" ht="12" customHeight="1" x14ac:dyDescent="0.2">
      <c r="A76" s="8" t="s">
        <v>244</v>
      </c>
      <c r="B76" s="130" t="s">
        <v>183</v>
      </c>
      <c r="C76" s="47"/>
      <c r="D76" s="38"/>
      <c r="E76" s="38"/>
      <c r="F76" s="38"/>
      <c r="G76" s="38"/>
      <c r="H76" s="38"/>
      <c r="I76" s="38"/>
      <c r="J76" s="38"/>
      <c r="K76" s="38"/>
      <c r="L76" s="38"/>
      <c r="M76" s="38"/>
      <c r="N76" s="38"/>
      <c r="O76" s="38"/>
      <c r="P76" s="38"/>
      <c r="Q76" s="47"/>
      <c r="R76" s="47"/>
      <c r="S76" s="38"/>
      <c r="T76" s="34">
        <v>0</v>
      </c>
      <c r="U76" s="34">
        <v>0</v>
      </c>
      <c r="V76" s="34">
        <v>0</v>
      </c>
      <c r="W76" s="34">
        <v>0</v>
      </c>
      <c r="X76" s="39">
        <f t="shared" si="0"/>
        <v>0</v>
      </c>
    </row>
    <row r="77" spans="1:26" ht="12" customHeight="1" x14ac:dyDescent="0.2">
      <c r="A77" s="8" t="s">
        <v>245</v>
      </c>
      <c r="B77" s="130" t="s">
        <v>168</v>
      </c>
      <c r="C77" s="47"/>
      <c r="D77" s="38"/>
      <c r="E77" s="38"/>
      <c r="F77" s="38"/>
      <c r="G77" s="38"/>
      <c r="H77" s="38"/>
      <c r="I77" s="38"/>
      <c r="J77" s="38"/>
      <c r="K77" s="38"/>
      <c r="L77" s="38"/>
      <c r="M77" s="38"/>
      <c r="N77" s="38"/>
      <c r="O77" s="38"/>
      <c r="P77" s="38"/>
      <c r="Q77" s="47"/>
      <c r="R77" s="47"/>
      <c r="S77" s="38"/>
      <c r="T77" s="34">
        <v>0</v>
      </c>
      <c r="U77" s="34">
        <v>0</v>
      </c>
      <c r="V77" s="34">
        <v>0</v>
      </c>
      <c r="W77" s="34">
        <v>0</v>
      </c>
      <c r="X77" s="39">
        <f t="shared" si="0"/>
        <v>0</v>
      </c>
    </row>
    <row r="78" spans="1:26" s="18" customFormat="1" ht="12" customHeight="1" x14ac:dyDescent="0.2">
      <c r="A78" s="60" t="s">
        <v>246</v>
      </c>
      <c r="B78" s="61" t="s">
        <v>247</v>
      </c>
      <c r="C78" s="64">
        <f t="shared" ref="C78:S78" si="20">SUBTOTAL(9,C70:C77)*C17</f>
        <v>0</v>
      </c>
      <c r="D78" s="64">
        <f t="shared" si="20"/>
        <v>0</v>
      </c>
      <c r="E78" s="64">
        <f t="shared" si="20"/>
        <v>0</v>
      </c>
      <c r="F78" s="64">
        <f t="shared" si="20"/>
        <v>0</v>
      </c>
      <c r="G78" s="64">
        <f t="shared" si="20"/>
        <v>0</v>
      </c>
      <c r="H78" s="64">
        <f t="shared" si="20"/>
        <v>0</v>
      </c>
      <c r="I78" s="64">
        <f t="shared" si="20"/>
        <v>0</v>
      </c>
      <c r="J78" s="64">
        <f t="shared" si="20"/>
        <v>0</v>
      </c>
      <c r="K78" s="64">
        <f t="shared" si="20"/>
        <v>0</v>
      </c>
      <c r="L78" s="64">
        <f t="shared" si="20"/>
        <v>0</v>
      </c>
      <c r="M78" s="64">
        <f t="shared" ref="M78" si="21">SUBTOTAL(9,M70:M77)*M17</f>
        <v>0</v>
      </c>
      <c r="N78" s="64">
        <f t="shared" si="20"/>
        <v>0</v>
      </c>
      <c r="O78" s="64">
        <f t="shared" si="20"/>
        <v>0</v>
      </c>
      <c r="P78" s="64">
        <f t="shared" si="20"/>
        <v>0</v>
      </c>
      <c r="Q78" s="64"/>
      <c r="R78" s="64">
        <f t="shared" si="20"/>
        <v>0</v>
      </c>
      <c r="S78" s="64">
        <f t="shared" si="20"/>
        <v>0</v>
      </c>
      <c r="T78" s="93">
        <f t="shared" ref="T78:W78" si="22">SUBTOTAL(9,T70:T77)</f>
        <v>0</v>
      </c>
      <c r="U78" s="64">
        <f t="shared" si="22"/>
        <v>0</v>
      </c>
      <c r="V78" s="64">
        <f t="shared" si="22"/>
        <v>0</v>
      </c>
      <c r="W78" s="64">
        <f t="shared" si="22"/>
        <v>0</v>
      </c>
      <c r="X78" s="65">
        <f>SUM(C78:W78)</f>
        <v>0</v>
      </c>
    </row>
    <row r="79" spans="1:26" ht="12" customHeight="1" thickBot="1" x14ac:dyDescent="0.25">
      <c r="A79" s="9" t="s">
        <v>140</v>
      </c>
      <c r="B79" s="69" t="s">
        <v>141</v>
      </c>
      <c r="C79" s="66"/>
      <c r="D79" s="66"/>
      <c r="E79" s="66"/>
      <c r="F79" s="66"/>
      <c r="G79" s="66"/>
      <c r="H79" s="66"/>
      <c r="I79" s="66"/>
      <c r="J79" s="66"/>
      <c r="K79" s="66"/>
      <c r="L79" s="66"/>
      <c r="M79" s="66"/>
      <c r="N79" s="66"/>
      <c r="O79" s="66"/>
      <c r="P79" s="66"/>
      <c r="Q79" s="66"/>
      <c r="R79" s="66"/>
      <c r="S79" s="66"/>
      <c r="T79" s="68"/>
      <c r="U79" s="68"/>
      <c r="V79" s="68"/>
      <c r="W79" s="68"/>
      <c r="X79" s="95"/>
    </row>
    <row r="80" spans="1:26" s="5" customFormat="1" x14ac:dyDescent="0.2">
      <c r="A80" s="3" t="s">
        <v>248</v>
      </c>
      <c r="B80" s="130" t="s">
        <v>249</v>
      </c>
      <c r="C80" s="46"/>
      <c r="D80" s="41"/>
      <c r="E80" s="41"/>
      <c r="F80" s="41"/>
      <c r="G80" s="41"/>
      <c r="H80" s="41"/>
      <c r="I80" s="41"/>
      <c r="J80" s="41"/>
      <c r="K80" s="41"/>
      <c r="L80" s="42"/>
      <c r="M80" s="41"/>
      <c r="N80" s="42"/>
      <c r="O80" s="42"/>
      <c r="P80" s="42"/>
      <c r="Q80" s="48"/>
      <c r="R80" s="48"/>
      <c r="S80" s="42"/>
      <c r="T80" s="36">
        <v>0</v>
      </c>
      <c r="U80" s="36">
        <v>0</v>
      </c>
      <c r="V80" s="36">
        <v>0</v>
      </c>
      <c r="W80" s="36">
        <v>0</v>
      </c>
      <c r="X80" s="37">
        <f t="shared" si="0"/>
        <v>0</v>
      </c>
      <c r="Z80" s="17"/>
    </row>
    <row r="81" spans="1:26" ht="12" customHeight="1" x14ac:dyDescent="0.2">
      <c r="A81" s="3" t="s">
        <v>250</v>
      </c>
      <c r="B81" s="130" t="s">
        <v>251</v>
      </c>
      <c r="C81" s="47"/>
      <c r="D81" s="38"/>
      <c r="E81" s="38"/>
      <c r="F81" s="38"/>
      <c r="G81" s="38"/>
      <c r="H81" s="38"/>
      <c r="I81" s="38"/>
      <c r="J81" s="38"/>
      <c r="K81" s="38"/>
      <c r="L81" s="38"/>
      <c r="M81" s="38"/>
      <c r="N81" s="38"/>
      <c r="O81" s="38"/>
      <c r="P81" s="38"/>
      <c r="Q81" s="47"/>
      <c r="R81" s="47"/>
      <c r="S81" s="38"/>
      <c r="T81" s="34">
        <v>0</v>
      </c>
      <c r="U81" s="34">
        <v>0</v>
      </c>
      <c r="V81" s="34">
        <v>0</v>
      </c>
      <c r="W81" s="34">
        <v>0</v>
      </c>
      <c r="X81" s="39">
        <f t="shared" si="0"/>
        <v>0</v>
      </c>
      <c r="Y81" s="7"/>
    </row>
    <row r="82" spans="1:26" ht="12" customHeight="1" x14ac:dyDescent="0.2">
      <c r="A82" s="1" t="s">
        <v>252</v>
      </c>
      <c r="B82" s="130" t="s">
        <v>243</v>
      </c>
      <c r="C82" s="47"/>
      <c r="D82" s="38"/>
      <c r="E82" s="38"/>
      <c r="F82" s="38"/>
      <c r="G82" s="38"/>
      <c r="H82" s="38"/>
      <c r="I82" s="38"/>
      <c r="J82" s="38"/>
      <c r="K82" s="38"/>
      <c r="L82" s="38"/>
      <c r="M82" s="38"/>
      <c r="N82" s="38"/>
      <c r="O82" s="38"/>
      <c r="P82" s="38"/>
      <c r="Q82" s="47"/>
      <c r="R82" s="47"/>
      <c r="S82" s="38"/>
      <c r="T82" s="34">
        <v>0</v>
      </c>
      <c r="U82" s="34">
        <v>0</v>
      </c>
      <c r="V82" s="34">
        <v>0</v>
      </c>
      <c r="W82" s="34">
        <v>0</v>
      </c>
      <c r="X82" s="39">
        <f t="shared" si="0"/>
        <v>0</v>
      </c>
    </row>
    <row r="83" spans="1:26" ht="12" customHeight="1" x14ac:dyDescent="0.2">
      <c r="A83" s="1" t="s">
        <v>253</v>
      </c>
      <c r="B83" s="130" t="s">
        <v>183</v>
      </c>
      <c r="C83" s="47"/>
      <c r="D83" s="38"/>
      <c r="E83" s="38"/>
      <c r="F83" s="38"/>
      <c r="G83" s="38"/>
      <c r="H83" s="38"/>
      <c r="I83" s="38"/>
      <c r="J83" s="38"/>
      <c r="K83" s="38"/>
      <c r="L83" s="38"/>
      <c r="M83" s="38"/>
      <c r="N83" s="38"/>
      <c r="O83" s="38"/>
      <c r="P83" s="38"/>
      <c r="Q83" s="47"/>
      <c r="R83" s="47"/>
      <c r="S83" s="38"/>
      <c r="T83" s="34">
        <v>0</v>
      </c>
      <c r="U83" s="34">
        <v>0</v>
      </c>
      <c r="V83" s="34">
        <v>0</v>
      </c>
      <c r="W83" s="34">
        <v>0</v>
      </c>
      <c r="X83" s="39">
        <f t="shared" si="0"/>
        <v>0</v>
      </c>
    </row>
    <row r="84" spans="1:26" ht="12" customHeight="1" x14ac:dyDescent="0.2">
      <c r="A84" s="1" t="s">
        <v>254</v>
      </c>
      <c r="B84" s="130" t="s">
        <v>168</v>
      </c>
      <c r="C84" s="47"/>
      <c r="D84" s="38"/>
      <c r="E84" s="38"/>
      <c r="F84" s="38"/>
      <c r="G84" s="38"/>
      <c r="H84" s="38"/>
      <c r="I84" s="38"/>
      <c r="J84" s="38"/>
      <c r="K84" s="38"/>
      <c r="L84" s="38"/>
      <c r="M84" s="38"/>
      <c r="N84" s="38"/>
      <c r="O84" s="38"/>
      <c r="P84" s="38"/>
      <c r="Q84" s="47"/>
      <c r="R84" s="47"/>
      <c r="S84" s="38"/>
      <c r="T84" s="34">
        <v>0</v>
      </c>
      <c r="U84" s="34">
        <v>0</v>
      </c>
      <c r="V84" s="34">
        <v>0</v>
      </c>
      <c r="W84" s="34">
        <v>0</v>
      </c>
      <c r="X84" s="39">
        <f t="shared" ref="X84" si="23">C84*C$17+D84*D$17+E84*E$17+F84*F$17+G84*G$17+H84*H$17+I84*I$17+J84*J$17+K84*K$17++L84*L$17++M84*M$17+N84*N$17+O84*O$17+P84*P$17+R84*R$17+S84*S$17+T84+U84+V84+W84</f>
        <v>0</v>
      </c>
    </row>
    <row r="85" spans="1:26" s="18" customFormat="1" ht="12" customHeight="1" x14ac:dyDescent="0.2">
      <c r="A85" s="60" t="s">
        <v>255</v>
      </c>
      <c r="B85" s="61" t="s">
        <v>141</v>
      </c>
      <c r="C85" s="64">
        <f t="shared" ref="C85:S85" si="24">SUBTOTAL(9,C80:C84)*C17</f>
        <v>0</v>
      </c>
      <c r="D85" s="64">
        <f t="shared" si="24"/>
        <v>0</v>
      </c>
      <c r="E85" s="64">
        <f t="shared" si="24"/>
        <v>0</v>
      </c>
      <c r="F85" s="64">
        <f t="shared" si="24"/>
        <v>0</v>
      </c>
      <c r="G85" s="64">
        <f t="shared" si="24"/>
        <v>0</v>
      </c>
      <c r="H85" s="64">
        <f t="shared" si="24"/>
        <v>0</v>
      </c>
      <c r="I85" s="64">
        <f t="shared" si="24"/>
        <v>0</v>
      </c>
      <c r="J85" s="64">
        <f t="shared" si="24"/>
        <v>0</v>
      </c>
      <c r="K85" s="64">
        <f t="shared" si="24"/>
        <v>0</v>
      </c>
      <c r="L85" s="64">
        <f t="shared" si="24"/>
        <v>0</v>
      </c>
      <c r="M85" s="64">
        <f t="shared" ref="M85" si="25">SUBTOTAL(9,M80:M84)*M17</f>
        <v>0</v>
      </c>
      <c r="N85" s="64">
        <f t="shared" si="24"/>
        <v>0</v>
      </c>
      <c r="O85" s="64">
        <f t="shared" si="24"/>
        <v>0</v>
      </c>
      <c r="P85" s="64">
        <f t="shared" si="24"/>
        <v>0</v>
      </c>
      <c r="Q85" s="64"/>
      <c r="R85" s="64">
        <f t="shared" si="24"/>
        <v>0</v>
      </c>
      <c r="S85" s="64">
        <f t="shared" si="24"/>
        <v>0</v>
      </c>
      <c r="T85" s="93">
        <f t="shared" ref="T85:W85" si="26">SUBTOTAL(9,T80:T84)</f>
        <v>0</v>
      </c>
      <c r="U85" s="64">
        <f t="shared" si="26"/>
        <v>0</v>
      </c>
      <c r="V85" s="64">
        <f t="shared" si="26"/>
        <v>0</v>
      </c>
      <c r="W85" s="64">
        <f t="shared" si="26"/>
        <v>0</v>
      </c>
      <c r="X85" s="65">
        <f>SUM(C85:W85)</f>
        <v>0</v>
      </c>
    </row>
    <row r="86" spans="1:26" ht="12" customHeight="1" thickBot="1" x14ac:dyDescent="0.25">
      <c r="A86" s="6" t="s">
        <v>142</v>
      </c>
      <c r="B86" s="67" t="s">
        <v>143</v>
      </c>
      <c r="C86" s="66"/>
      <c r="D86" s="66"/>
      <c r="E86" s="66"/>
      <c r="F86" s="66"/>
      <c r="G86" s="66"/>
      <c r="H86" s="66"/>
      <c r="I86" s="66"/>
      <c r="J86" s="66"/>
      <c r="K86" s="66"/>
      <c r="L86" s="66"/>
      <c r="M86" s="66"/>
      <c r="N86" s="66"/>
      <c r="O86" s="66"/>
      <c r="P86" s="66"/>
      <c r="Q86" s="66"/>
      <c r="R86" s="66"/>
      <c r="S86" s="66"/>
      <c r="T86" s="68"/>
      <c r="U86" s="68"/>
      <c r="V86" s="68"/>
      <c r="W86" s="68"/>
      <c r="X86" s="95"/>
    </row>
    <row r="87" spans="1:26" s="5" customFormat="1" ht="12" customHeight="1" x14ac:dyDescent="0.2">
      <c r="A87" s="3" t="s">
        <v>256</v>
      </c>
      <c r="B87" s="130" t="s">
        <v>257</v>
      </c>
      <c r="C87" s="46"/>
      <c r="D87" s="41"/>
      <c r="E87" s="41"/>
      <c r="F87" s="41"/>
      <c r="G87" s="41"/>
      <c r="H87" s="41"/>
      <c r="I87" s="41"/>
      <c r="J87" s="41"/>
      <c r="K87" s="41"/>
      <c r="L87" s="42"/>
      <c r="M87" s="41"/>
      <c r="N87" s="42"/>
      <c r="O87" s="42"/>
      <c r="P87" s="42"/>
      <c r="Q87" s="48"/>
      <c r="R87" s="48"/>
      <c r="S87" s="42"/>
      <c r="T87" s="36">
        <v>0</v>
      </c>
      <c r="U87" s="36">
        <v>0</v>
      </c>
      <c r="V87" s="36">
        <v>0</v>
      </c>
      <c r="W87" s="36">
        <v>0</v>
      </c>
      <c r="X87" s="37">
        <f t="shared" ref="X87:X89" si="27">C87*C$17+D87*D$17+E87*E$17+F87*F$17+G87*G$17+H87*H$17+I87*I$17+J87*J$17+K87*K$17++L87*L$17++M87*M$17+N87*N$17+O87*O$17+P87*P$17+R87*R$17+S87*S$17+T87+U87+V87+W87</f>
        <v>0</v>
      </c>
      <c r="Z87" s="17"/>
    </row>
    <row r="88" spans="1:26" ht="12" customHeight="1" x14ac:dyDescent="0.2">
      <c r="A88" s="3" t="s">
        <v>258</v>
      </c>
      <c r="B88" s="130" t="s">
        <v>259</v>
      </c>
      <c r="C88" s="47"/>
      <c r="D88" s="38"/>
      <c r="E88" s="38"/>
      <c r="F88" s="38"/>
      <c r="G88" s="38"/>
      <c r="H88" s="38"/>
      <c r="I88" s="38"/>
      <c r="J88" s="38"/>
      <c r="K88" s="38"/>
      <c r="L88" s="38"/>
      <c r="M88" s="38"/>
      <c r="N88" s="38"/>
      <c r="O88" s="38"/>
      <c r="P88" s="38"/>
      <c r="Q88" s="47"/>
      <c r="R88" s="47"/>
      <c r="S88" s="38"/>
      <c r="T88" s="34">
        <v>0</v>
      </c>
      <c r="U88" s="34">
        <v>0</v>
      </c>
      <c r="V88" s="34">
        <v>0</v>
      </c>
      <c r="W88" s="34">
        <v>0</v>
      </c>
      <c r="X88" s="39">
        <f t="shared" si="27"/>
        <v>0</v>
      </c>
    </row>
    <row r="89" spans="1:26" ht="12" customHeight="1" x14ac:dyDescent="0.2">
      <c r="A89" s="3" t="s">
        <v>260</v>
      </c>
      <c r="B89" s="130" t="s">
        <v>261</v>
      </c>
      <c r="C89" s="47"/>
      <c r="D89" s="38"/>
      <c r="E89" s="38"/>
      <c r="F89" s="38"/>
      <c r="G89" s="38"/>
      <c r="H89" s="38"/>
      <c r="I89" s="38"/>
      <c r="J89" s="38"/>
      <c r="K89" s="38"/>
      <c r="L89" s="38"/>
      <c r="M89" s="38"/>
      <c r="N89" s="38"/>
      <c r="O89" s="38"/>
      <c r="P89" s="38"/>
      <c r="Q89" s="47"/>
      <c r="R89" s="47"/>
      <c r="S89" s="38"/>
      <c r="T89" s="34">
        <v>0</v>
      </c>
      <c r="U89" s="34">
        <v>0</v>
      </c>
      <c r="V89" s="34">
        <v>0</v>
      </c>
      <c r="W89" s="34">
        <v>0</v>
      </c>
      <c r="X89" s="39">
        <f t="shared" si="27"/>
        <v>0</v>
      </c>
    </row>
    <row r="90" spans="1:26" ht="12" customHeight="1" x14ac:dyDescent="0.2">
      <c r="A90" s="3" t="s">
        <v>262</v>
      </c>
      <c r="B90" s="130" t="s">
        <v>168</v>
      </c>
      <c r="C90" s="47"/>
      <c r="D90" s="38"/>
      <c r="E90" s="38"/>
      <c r="F90" s="38"/>
      <c r="G90" s="38"/>
      <c r="H90" s="38"/>
      <c r="I90" s="38"/>
      <c r="J90" s="38"/>
      <c r="K90" s="38"/>
      <c r="L90" s="38"/>
      <c r="M90" s="38"/>
      <c r="N90" s="38"/>
      <c r="O90" s="38"/>
      <c r="P90" s="38"/>
      <c r="Q90" s="47"/>
      <c r="R90" s="47"/>
      <c r="S90" s="38"/>
      <c r="T90" s="34">
        <v>0</v>
      </c>
      <c r="U90" s="34">
        <v>0</v>
      </c>
      <c r="V90" s="34">
        <v>0</v>
      </c>
      <c r="W90" s="34">
        <v>0</v>
      </c>
      <c r="X90" s="39">
        <f>C90*C$17+D90*D$17+E90*E$17+F90*F$17+G90*G$17+H90*H$17+I90*I$17+J90*J$17+K90*K$17++L90*L$17++M90*M$17+N90*N$17+O90*O$17+P90*P$17+R90*R$17+S90*S$17+T90+U90+V90+W90</f>
        <v>0</v>
      </c>
    </row>
    <row r="91" spans="1:26" s="18" customFormat="1" ht="12" customHeight="1" x14ac:dyDescent="0.2">
      <c r="A91" s="62" t="s">
        <v>263</v>
      </c>
      <c r="B91" s="63" t="s">
        <v>264</v>
      </c>
      <c r="C91" s="64">
        <f t="shared" ref="C91:S91" si="28">SUBTOTAL(9,C87:C90)*C17</f>
        <v>0</v>
      </c>
      <c r="D91" s="64">
        <f t="shared" si="28"/>
        <v>0</v>
      </c>
      <c r="E91" s="64">
        <f t="shared" si="28"/>
        <v>0</v>
      </c>
      <c r="F91" s="64">
        <f t="shared" si="28"/>
        <v>0</v>
      </c>
      <c r="G91" s="64">
        <f t="shared" si="28"/>
        <v>0</v>
      </c>
      <c r="H91" s="64">
        <f t="shared" si="28"/>
        <v>0</v>
      </c>
      <c r="I91" s="64">
        <f t="shared" si="28"/>
        <v>0</v>
      </c>
      <c r="J91" s="64">
        <f t="shared" si="28"/>
        <v>0</v>
      </c>
      <c r="K91" s="64">
        <f t="shared" si="28"/>
        <v>0</v>
      </c>
      <c r="L91" s="64">
        <f t="shared" si="28"/>
        <v>0</v>
      </c>
      <c r="M91" s="64">
        <f t="shared" si="28"/>
        <v>0</v>
      </c>
      <c r="N91" s="64">
        <f t="shared" si="28"/>
        <v>0</v>
      </c>
      <c r="O91" s="64">
        <f t="shared" si="28"/>
        <v>0</v>
      </c>
      <c r="P91" s="64">
        <f t="shared" si="28"/>
        <v>0</v>
      </c>
      <c r="Q91" s="64"/>
      <c r="R91" s="64">
        <f t="shared" si="28"/>
        <v>0</v>
      </c>
      <c r="S91" s="64">
        <f t="shared" si="28"/>
        <v>0</v>
      </c>
      <c r="T91" s="93">
        <f t="shared" ref="T91:W91" si="29">SUBTOTAL(9,T87:T90)</f>
        <v>0</v>
      </c>
      <c r="U91" s="64">
        <f t="shared" si="29"/>
        <v>0</v>
      </c>
      <c r="V91" s="64">
        <f t="shared" si="29"/>
        <v>0</v>
      </c>
      <c r="W91" s="64">
        <f t="shared" si="29"/>
        <v>0</v>
      </c>
      <c r="X91" s="65">
        <f>SUM(C91:W91)</f>
        <v>0</v>
      </c>
    </row>
    <row r="92" spans="1:26" ht="13.5" thickBot="1" x14ac:dyDescent="0.25">
      <c r="B92" s="27"/>
      <c r="C92" s="14"/>
      <c r="D92" s="14"/>
      <c r="E92" s="14"/>
      <c r="F92" s="14"/>
      <c r="G92" s="14"/>
      <c r="H92" s="14"/>
      <c r="I92" s="14"/>
      <c r="J92" s="14"/>
      <c r="K92" s="14"/>
      <c r="L92" s="14"/>
      <c r="M92" s="14"/>
      <c r="N92" s="14"/>
      <c r="O92" s="14"/>
      <c r="P92" s="14"/>
      <c r="Q92" s="14"/>
      <c r="R92" s="14"/>
      <c r="S92" s="14"/>
      <c r="T92" s="22"/>
      <c r="U92" s="22"/>
      <c r="V92" s="22"/>
      <c r="W92" s="22"/>
      <c r="X92" s="16"/>
    </row>
    <row r="93" spans="1:26" s="18" customFormat="1" ht="13.5" thickBot="1" x14ac:dyDescent="0.25">
      <c r="B93" s="28" t="s">
        <v>265</v>
      </c>
      <c r="C93" s="43">
        <f>SUM(C23+C33+C40+C43+C49+C56+C68+C78+C85+C91)</f>
        <v>0</v>
      </c>
      <c r="D93" s="43">
        <f t="shared" ref="D93:W93" si="30">SUM(D23+D33+D40+D43+D49+D56+D68+D78+D85+D91)</f>
        <v>0</v>
      </c>
      <c r="E93" s="43">
        <f t="shared" si="30"/>
        <v>0</v>
      </c>
      <c r="F93" s="43">
        <f t="shared" si="30"/>
        <v>0</v>
      </c>
      <c r="G93" s="43">
        <f t="shared" si="30"/>
        <v>0</v>
      </c>
      <c r="H93" s="43">
        <f t="shared" si="30"/>
        <v>0</v>
      </c>
      <c r="I93" s="43">
        <f t="shared" si="30"/>
        <v>0</v>
      </c>
      <c r="J93" s="43">
        <f t="shared" si="30"/>
        <v>0</v>
      </c>
      <c r="K93" s="43">
        <f t="shared" si="30"/>
        <v>0</v>
      </c>
      <c r="L93" s="43">
        <f>SUM(L23+L33+L40+L43+L49+L56+L68+L78+L85+L91)</f>
        <v>0</v>
      </c>
      <c r="M93" s="43">
        <f t="shared" si="30"/>
        <v>0</v>
      </c>
      <c r="N93" s="43">
        <f t="shared" si="30"/>
        <v>0</v>
      </c>
      <c r="O93" s="43">
        <f t="shared" si="30"/>
        <v>0</v>
      </c>
      <c r="P93" s="43">
        <f t="shared" si="30"/>
        <v>0</v>
      </c>
      <c r="Q93" s="43"/>
      <c r="R93" s="43">
        <f t="shared" si="30"/>
        <v>0</v>
      </c>
      <c r="S93" s="43">
        <f t="shared" si="30"/>
        <v>138</v>
      </c>
      <c r="T93" s="43" t="e">
        <f t="shared" si="30"/>
        <v>#VALUE!</v>
      </c>
      <c r="U93" s="43">
        <f t="shared" si="30"/>
        <v>0</v>
      </c>
      <c r="V93" s="43">
        <f t="shared" si="30"/>
        <v>0</v>
      </c>
      <c r="W93" s="43">
        <f t="shared" si="30"/>
        <v>0</v>
      </c>
      <c r="X93" s="94" t="e">
        <f>SUM(X23+X33+X40+X43+X49+X56+X68+X78+X85+X91)</f>
        <v>#VALUE!</v>
      </c>
    </row>
    <row r="94" spans="1:26" x14ac:dyDescent="0.2">
      <c r="C94" s="14"/>
      <c r="D94" s="14"/>
      <c r="E94" s="14"/>
      <c r="F94" s="14"/>
      <c r="G94" s="14"/>
      <c r="H94" s="14"/>
      <c r="I94" s="14"/>
      <c r="J94" s="14"/>
      <c r="K94" s="14"/>
      <c r="L94" s="14"/>
      <c r="M94" s="14"/>
      <c r="N94" s="14"/>
      <c r="O94" s="14"/>
      <c r="P94" s="14"/>
      <c r="Q94" s="14"/>
      <c r="R94" s="14"/>
      <c r="S94" s="14"/>
      <c r="T94" s="22"/>
      <c r="U94" s="22"/>
      <c r="V94" s="22"/>
      <c r="W94" s="22"/>
      <c r="X94" s="16"/>
    </row>
    <row r="95" spans="1:26" x14ac:dyDescent="0.2">
      <c r="B95" s="1" t="s">
        <v>266</v>
      </c>
      <c r="C95" s="14"/>
      <c r="D95" s="14"/>
      <c r="E95" s="14"/>
      <c r="F95" s="14"/>
      <c r="G95" s="14"/>
      <c r="H95" s="14"/>
      <c r="I95" s="14"/>
      <c r="J95" s="14"/>
      <c r="K95" s="14"/>
      <c r="L95" s="14"/>
      <c r="M95" s="14"/>
      <c r="N95" s="14"/>
      <c r="O95" s="14"/>
      <c r="P95" s="14"/>
      <c r="Q95" s="14"/>
      <c r="R95" s="14"/>
      <c r="S95" s="14"/>
      <c r="T95" s="22"/>
      <c r="U95" s="22"/>
      <c r="V95" s="22"/>
      <c r="W95" s="22"/>
      <c r="X95" s="21" t="e">
        <f>F20=SUM(C93:W93)</f>
        <v>#VALUE!</v>
      </c>
    </row>
    <row r="96" spans="1:26" x14ac:dyDescent="0.2">
      <c r="C96" s="14"/>
      <c r="D96" s="14"/>
      <c r="E96" s="14"/>
      <c r="F96" s="14"/>
      <c r="G96" s="14"/>
      <c r="H96" s="14"/>
      <c r="I96" s="14"/>
      <c r="J96" s="14"/>
      <c r="K96" s="14"/>
      <c r="L96" s="14"/>
      <c r="M96" s="14"/>
      <c r="N96" s="14"/>
      <c r="O96" s="14"/>
      <c r="P96" s="14"/>
      <c r="Q96" s="14"/>
      <c r="R96" s="14"/>
      <c r="S96" s="14"/>
      <c r="T96" s="22"/>
      <c r="U96" s="22"/>
      <c r="V96" s="22"/>
      <c r="W96" s="22"/>
      <c r="X96" s="16"/>
    </row>
    <row r="97" spans="3:24" x14ac:dyDescent="0.2">
      <c r="C97" s="14"/>
      <c r="D97" s="14"/>
      <c r="E97" s="14"/>
      <c r="F97" s="14"/>
      <c r="G97" s="14"/>
      <c r="H97" s="14"/>
      <c r="I97" s="14"/>
      <c r="J97" s="14"/>
      <c r="K97" s="14"/>
      <c r="L97" s="14"/>
      <c r="M97" s="14"/>
      <c r="N97" s="14"/>
      <c r="O97" s="14"/>
      <c r="P97" s="14"/>
      <c r="Q97" s="14"/>
      <c r="R97" s="14"/>
      <c r="S97" s="14"/>
      <c r="T97" s="22"/>
      <c r="U97" s="22"/>
      <c r="V97" s="22"/>
      <c r="W97" s="22"/>
      <c r="X97" s="16"/>
    </row>
    <row r="98" spans="3:24" x14ac:dyDescent="0.2">
      <c r="C98" s="14"/>
      <c r="D98" s="14"/>
      <c r="E98" s="14"/>
      <c r="F98" s="14"/>
      <c r="G98" s="14"/>
      <c r="H98" s="14"/>
      <c r="I98" s="14"/>
      <c r="J98" s="14"/>
      <c r="K98" s="14"/>
      <c r="L98" s="14"/>
      <c r="M98" s="14"/>
      <c r="N98" s="14"/>
      <c r="O98" s="14"/>
      <c r="P98" s="14"/>
      <c r="Q98" s="14"/>
      <c r="R98" s="14"/>
      <c r="S98" s="14"/>
      <c r="T98" s="22"/>
      <c r="U98" s="22"/>
      <c r="V98" s="22"/>
      <c r="W98" s="22"/>
      <c r="X98" s="16"/>
    </row>
    <row r="99" spans="3:24" x14ac:dyDescent="0.2">
      <c r="C99" s="14"/>
      <c r="D99" s="14"/>
      <c r="E99" s="14"/>
      <c r="F99" s="14"/>
      <c r="G99" s="14"/>
      <c r="H99" s="14"/>
      <c r="I99" s="14"/>
      <c r="J99" s="14"/>
      <c r="K99" s="14"/>
      <c r="L99" s="14"/>
      <c r="M99" s="14"/>
      <c r="N99" s="14"/>
      <c r="O99" s="14"/>
      <c r="P99" s="14"/>
      <c r="Q99" s="14"/>
      <c r="R99" s="14"/>
      <c r="S99" s="14"/>
      <c r="T99" s="22"/>
      <c r="U99" s="22"/>
      <c r="V99" s="22"/>
      <c r="W99" s="22"/>
      <c r="X99" s="16"/>
    </row>
  </sheetData>
  <mergeCells count="10">
    <mergeCell ref="A12:B12"/>
    <mergeCell ref="A13:B14"/>
    <mergeCell ref="A10:B10"/>
    <mergeCell ref="A6:B6"/>
    <mergeCell ref="A7:B7"/>
    <mergeCell ref="A3:B3"/>
    <mergeCell ref="A4:B4"/>
    <mergeCell ref="A5:B5"/>
    <mergeCell ref="A8:B8"/>
    <mergeCell ref="A9:B9"/>
  </mergeCells>
  <phoneticPr fontId="0" type="noConversion"/>
  <pageMargins left="0.5" right="0.5" top="0.5" bottom="0.5" header="0" footer="0.35"/>
  <pageSetup paperSize="5" scale="41" orientation="landscape" r:id="rId1"/>
  <headerFooter alignWithMargins="0">
    <oddFooter>&amp;L&amp;8&amp;F&amp;C&amp;8Page &amp;P of  &amp;N</oddFooter>
  </headerFooter>
  <drawing r:id="rId2"/>
  <legacyDrawing r:id="rId3"/>
  <controls>
    <mc:AlternateContent xmlns:mc="http://schemas.openxmlformats.org/markup-compatibility/2006">
      <mc:Choice Requires="x14">
        <control shapeId="2050" r:id="rId4" name="CheckBox2">
          <controlPr autoLine="0" r:id="rId5">
            <anchor moveWithCells="1">
              <from>
                <xdr:col>1</xdr:col>
                <xdr:colOff>561975</xdr:colOff>
                <xdr:row>10</xdr:row>
                <xdr:rowOff>0</xdr:rowOff>
              </from>
              <to>
                <xdr:col>1</xdr:col>
                <xdr:colOff>1647825</xdr:colOff>
                <xdr:row>11</xdr:row>
                <xdr:rowOff>76200</xdr:rowOff>
              </to>
            </anchor>
          </controlPr>
        </control>
      </mc:Choice>
      <mc:Fallback>
        <control shapeId="2050" r:id="rId4" name="CheckBox2"/>
      </mc:Fallback>
    </mc:AlternateContent>
    <mc:AlternateContent xmlns:mc="http://schemas.openxmlformats.org/markup-compatibility/2006">
      <mc:Choice Requires="x14">
        <control shapeId="2049" r:id="rId6" name="CheckBox1">
          <controlPr autoLine="0" r:id="rId7">
            <anchor moveWithCells="1">
              <from>
                <xdr:col>0</xdr:col>
                <xdr:colOff>66675</xdr:colOff>
                <xdr:row>10</xdr:row>
                <xdr:rowOff>28575</xdr:rowOff>
              </from>
              <to>
                <xdr:col>1</xdr:col>
                <xdr:colOff>447675</xdr:colOff>
                <xdr:row>11</xdr:row>
                <xdr:rowOff>66675</xdr:rowOff>
              </to>
            </anchor>
          </controlPr>
        </control>
      </mc:Choice>
      <mc:Fallback>
        <control shapeId="2049" r:id="rId6" name="CheckBox1"/>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C0C3B-D8AC-4AD7-9755-72B472D4FBAC}">
  <dimension ref="A1:O83"/>
  <sheetViews>
    <sheetView topLeftCell="A18" workbookViewId="0">
      <selection activeCell="G50" sqref="G50"/>
    </sheetView>
  </sheetViews>
  <sheetFormatPr defaultColWidth="9.33203125" defaultRowHeight="12.75" x14ac:dyDescent="0.2"/>
  <cols>
    <col min="1" max="1" width="14.33203125" style="100" customWidth="1"/>
    <col min="2" max="2" width="51.1640625" style="100" customWidth="1"/>
    <col min="3" max="3" width="13.33203125" style="100" customWidth="1"/>
    <col min="4" max="4" width="13" style="100" customWidth="1"/>
    <col min="5" max="5" width="11.6640625" style="100" customWidth="1"/>
    <col min="6" max="16384" width="9.33203125" style="100"/>
  </cols>
  <sheetData>
    <row r="1" spans="1:15" x14ac:dyDescent="0.2">
      <c r="A1" s="2"/>
      <c r="B1" s="2" t="s">
        <v>0</v>
      </c>
      <c r="C1" s="2"/>
      <c r="D1" s="2"/>
      <c r="E1" s="2"/>
      <c r="F1" s="2"/>
      <c r="G1" s="2"/>
      <c r="H1" s="2"/>
      <c r="I1" s="2"/>
      <c r="J1" s="2"/>
      <c r="K1" s="2"/>
      <c r="L1" s="2"/>
      <c r="M1" s="2"/>
      <c r="N1" s="2"/>
      <c r="O1" s="2"/>
    </row>
    <row r="2" spans="1:15" x14ac:dyDescent="0.2">
      <c r="A2" s="2"/>
      <c r="B2" s="2"/>
      <c r="C2" s="2"/>
      <c r="D2" s="2"/>
      <c r="E2" s="2"/>
      <c r="F2" s="2"/>
      <c r="G2" s="2"/>
      <c r="H2" s="2"/>
      <c r="I2" s="2"/>
      <c r="J2" s="2"/>
      <c r="K2" s="2"/>
      <c r="L2" s="2"/>
      <c r="M2" s="2"/>
      <c r="N2" s="2"/>
      <c r="O2" s="2"/>
    </row>
    <row r="3" spans="1:15" x14ac:dyDescent="0.2">
      <c r="A3" s="2"/>
      <c r="B3" s="98" t="s">
        <v>1</v>
      </c>
      <c r="C3" s="99" t="s">
        <v>2</v>
      </c>
      <c r="D3" s="2"/>
      <c r="E3" s="2"/>
      <c r="F3" s="2"/>
      <c r="G3" s="2"/>
      <c r="H3" s="2"/>
      <c r="I3" s="2"/>
      <c r="J3" s="2"/>
      <c r="K3" s="2"/>
      <c r="L3" s="2"/>
      <c r="M3" s="2"/>
      <c r="N3" s="2"/>
      <c r="O3" s="2"/>
    </row>
    <row r="4" spans="1:15" x14ac:dyDescent="0.2">
      <c r="A4" s="2"/>
      <c r="B4" s="101" t="s">
        <v>3</v>
      </c>
      <c r="C4" s="160">
        <v>279</v>
      </c>
      <c r="D4" s="2"/>
      <c r="E4" s="2"/>
      <c r="F4" s="2"/>
      <c r="G4" s="2"/>
      <c r="H4" s="2"/>
      <c r="I4" s="2"/>
      <c r="J4" s="2"/>
      <c r="K4" s="2"/>
      <c r="L4" s="2"/>
      <c r="M4" s="2"/>
      <c r="N4" s="2"/>
      <c r="O4" s="2"/>
    </row>
    <row r="5" spans="1:15" x14ac:dyDescent="0.2">
      <c r="A5" s="2"/>
      <c r="B5" s="101" t="s">
        <v>4</v>
      </c>
      <c r="C5" s="160">
        <v>272</v>
      </c>
      <c r="D5" s="2"/>
      <c r="E5" s="2"/>
      <c r="F5" s="2"/>
      <c r="G5" s="2"/>
      <c r="H5" s="2"/>
      <c r="I5" s="2"/>
      <c r="J5" s="2"/>
      <c r="K5" s="2"/>
      <c r="L5" s="2"/>
      <c r="M5" s="2"/>
      <c r="N5" s="2"/>
      <c r="O5" s="2"/>
    </row>
    <row r="6" spans="1:15" x14ac:dyDescent="0.2">
      <c r="A6" s="2"/>
      <c r="B6" s="101" t="s">
        <v>5</v>
      </c>
      <c r="C6" s="160">
        <v>254</v>
      </c>
      <c r="D6" s="2"/>
      <c r="E6" s="2"/>
      <c r="F6" s="2"/>
      <c r="G6" s="2"/>
      <c r="H6" s="2"/>
      <c r="I6" s="2"/>
      <c r="J6" s="2"/>
      <c r="K6" s="2"/>
      <c r="L6" s="2"/>
      <c r="M6" s="2"/>
      <c r="N6" s="2"/>
      <c r="O6" s="2"/>
    </row>
    <row r="7" spans="1:15" x14ac:dyDescent="0.2">
      <c r="A7" s="2"/>
      <c r="B7" s="101" t="s">
        <v>150</v>
      </c>
      <c r="C7" s="160">
        <v>237</v>
      </c>
      <c r="D7" s="2"/>
      <c r="E7" s="2"/>
      <c r="F7" s="2"/>
      <c r="G7" s="2"/>
      <c r="H7" s="2"/>
      <c r="I7" s="2"/>
      <c r="J7" s="2"/>
      <c r="K7" s="2"/>
      <c r="L7" s="2"/>
      <c r="M7" s="2"/>
      <c r="N7" s="2"/>
      <c r="O7" s="2"/>
    </row>
    <row r="8" spans="1:15" x14ac:dyDescent="0.2">
      <c r="A8" s="2"/>
      <c r="B8" s="101" t="s">
        <v>6</v>
      </c>
      <c r="C8" s="160">
        <v>214</v>
      </c>
      <c r="D8" s="2"/>
      <c r="E8" s="2"/>
      <c r="F8" s="2"/>
      <c r="G8" s="2"/>
      <c r="H8" s="2"/>
      <c r="I8" s="2"/>
      <c r="J8" s="2"/>
      <c r="K8" s="2"/>
      <c r="L8" s="2"/>
      <c r="M8" s="2"/>
      <c r="N8" s="2"/>
      <c r="O8" s="2"/>
    </row>
    <row r="9" spans="1:15" x14ac:dyDescent="0.2">
      <c r="A9" s="2"/>
      <c r="B9" s="101" t="s">
        <v>7</v>
      </c>
      <c r="C9" s="160">
        <v>198</v>
      </c>
      <c r="D9" s="2"/>
      <c r="E9" s="2"/>
      <c r="F9" s="2"/>
      <c r="G9" s="2"/>
      <c r="H9" s="2"/>
      <c r="I9" s="2"/>
      <c r="J9" s="2"/>
      <c r="K9" s="2"/>
      <c r="L9" s="2"/>
      <c r="M9" s="2"/>
      <c r="N9" s="2"/>
      <c r="O9" s="2"/>
    </row>
    <row r="10" spans="1:15" x14ac:dyDescent="0.2">
      <c r="A10" s="2"/>
      <c r="B10" s="101" t="s">
        <v>8</v>
      </c>
      <c r="C10" s="160">
        <v>182</v>
      </c>
      <c r="D10" s="2"/>
      <c r="E10" s="2"/>
      <c r="F10" s="2"/>
      <c r="G10" s="2"/>
      <c r="H10" s="2"/>
      <c r="I10" s="2"/>
      <c r="J10" s="2"/>
      <c r="K10" s="2"/>
      <c r="L10" s="2"/>
      <c r="M10" s="2"/>
      <c r="N10" s="2"/>
      <c r="O10" s="2"/>
    </row>
    <row r="11" spans="1:15" x14ac:dyDescent="0.2">
      <c r="A11" s="2"/>
      <c r="B11" s="101" t="s">
        <v>9</v>
      </c>
      <c r="C11" s="160">
        <v>165</v>
      </c>
      <c r="D11" s="2"/>
      <c r="E11" s="2"/>
      <c r="F11" s="2"/>
      <c r="G11" s="2"/>
      <c r="H11" s="2"/>
      <c r="I11" s="2"/>
      <c r="J11" s="2"/>
      <c r="K11" s="2"/>
      <c r="L11" s="2"/>
      <c r="M11" s="2"/>
      <c r="N11" s="2"/>
      <c r="O11" s="2"/>
    </row>
    <row r="12" spans="1:15" x14ac:dyDescent="0.2">
      <c r="A12" s="2"/>
      <c r="B12" s="101" t="s">
        <v>10</v>
      </c>
      <c r="C12" s="160">
        <v>142</v>
      </c>
      <c r="D12" s="2"/>
      <c r="E12" s="2"/>
      <c r="F12" s="2"/>
      <c r="G12" s="2"/>
      <c r="H12" s="2"/>
      <c r="I12" s="2"/>
      <c r="J12" s="2"/>
      <c r="K12" s="2"/>
      <c r="L12" s="2"/>
      <c r="M12" s="2"/>
      <c r="N12" s="2"/>
      <c r="O12" s="2"/>
    </row>
    <row r="13" spans="1:15" x14ac:dyDescent="0.2">
      <c r="A13" s="2"/>
      <c r="B13" s="101" t="s">
        <v>11</v>
      </c>
      <c r="C13" s="160">
        <v>132</v>
      </c>
      <c r="D13" s="2"/>
      <c r="E13" s="2"/>
      <c r="F13" s="2"/>
      <c r="G13" s="2"/>
      <c r="H13" s="2"/>
      <c r="I13" s="2"/>
      <c r="J13" s="2"/>
      <c r="K13" s="2"/>
      <c r="L13" s="2"/>
      <c r="M13" s="2"/>
      <c r="N13" s="2"/>
      <c r="O13" s="2"/>
    </row>
    <row r="14" spans="1:15" x14ac:dyDescent="0.2">
      <c r="A14" s="2"/>
      <c r="B14" s="101" t="s">
        <v>12</v>
      </c>
      <c r="C14" s="160">
        <v>128</v>
      </c>
      <c r="D14" s="2"/>
      <c r="E14" s="2"/>
      <c r="F14" s="2"/>
      <c r="G14" s="2"/>
      <c r="H14" s="2"/>
      <c r="I14" s="2"/>
      <c r="J14" s="2"/>
      <c r="K14" s="2"/>
      <c r="L14" s="2"/>
      <c r="M14" s="2"/>
      <c r="N14" s="2"/>
      <c r="O14" s="2"/>
    </row>
    <row r="15" spans="1:15" x14ac:dyDescent="0.2">
      <c r="A15" s="2"/>
      <c r="B15" s="101" t="s">
        <v>13</v>
      </c>
      <c r="C15" s="160">
        <v>138</v>
      </c>
      <c r="D15" s="2"/>
      <c r="E15" s="2"/>
      <c r="F15" s="2"/>
      <c r="G15" s="2"/>
      <c r="H15" s="2"/>
      <c r="I15" s="2"/>
      <c r="J15" s="2"/>
      <c r="K15" s="2"/>
      <c r="L15" s="2"/>
      <c r="M15" s="2"/>
      <c r="N15" s="2"/>
      <c r="O15" s="2"/>
    </row>
    <row r="16" spans="1:15" x14ac:dyDescent="0.2">
      <c r="A16" s="2"/>
      <c r="B16" s="101" t="s">
        <v>14</v>
      </c>
      <c r="C16" s="160">
        <v>105</v>
      </c>
      <c r="D16" s="2"/>
      <c r="E16" s="2"/>
      <c r="F16" s="2"/>
      <c r="G16" s="2"/>
      <c r="H16" s="2"/>
      <c r="I16" s="2"/>
      <c r="J16" s="2"/>
      <c r="K16" s="2"/>
      <c r="L16" s="2"/>
      <c r="M16" s="2"/>
      <c r="N16" s="2"/>
      <c r="O16" s="2"/>
    </row>
    <row r="17" spans="1:15" x14ac:dyDescent="0.2">
      <c r="A17" s="2"/>
      <c r="B17" s="101" t="s">
        <v>15</v>
      </c>
      <c r="C17" s="160">
        <v>85</v>
      </c>
      <c r="D17" s="2"/>
      <c r="E17" s="2"/>
      <c r="F17" s="2"/>
      <c r="G17" s="2"/>
      <c r="H17" s="2"/>
      <c r="I17" s="2"/>
      <c r="J17" s="2"/>
      <c r="K17" s="2"/>
      <c r="L17" s="2"/>
      <c r="M17" s="2"/>
      <c r="N17" s="2"/>
      <c r="O17" s="2"/>
    </row>
    <row r="18" spans="1:15" x14ac:dyDescent="0.2">
      <c r="A18" s="2"/>
      <c r="B18" s="2"/>
      <c r="C18" s="2"/>
      <c r="D18" s="2"/>
      <c r="E18" s="2"/>
      <c r="F18" s="2"/>
      <c r="G18" s="2"/>
      <c r="H18" s="2"/>
      <c r="I18" s="2"/>
      <c r="J18" s="2"/>
      <c r="K18" s="2"/>
      <c r="L18" s="2"/>
      <c r="M18" s="2"/>
      <c r="N18" s="2"/>
      <c r="O18" s="2"/>
    </row>
    <row r="19" spans="1:15" x14ac:dyDescent="0.2">
      <c r="A19" s="2"/>
      <c r="B19" s="85" t="s">
        <v>16</v>
      </c>
      <c r="C19" s="86" t="s">
        <v>17</v>
      </c>
      <c r="D19" s="87"/>
      <c r="E19" s="88"/>
      <c r="F19" s="2"/>
      <c r="G19" s="2"/>
      <c r="H19" s="2"/>
      <c r="I19" s="2"/>
      <c r="J19" s="2"/>
      <c r="K19" s="2"/>
      <c r="L19" s="2"/>
      <c r="M19" s="2"/>
      <c r="N19" s="2"/>
      <c r="O19" s="2"/>
    </row>
    <row r="20" spans="1:15" x14ac:dyDescent="0.2">
      <c r="A20" s="2"/>
      <c r="B20" s="102"/>
      <c r="C20" s="97" t="s">
        <v>18</v>
      </c>
      <c r="D20" s="103" t="s">
        <v>19</v>
      </c>
      <c r="E20" s="104" t="s">
        <v>20</v>
      </c>
      <c r="F20" s="2"/>
      <c r="G20" s="2"/>
      <c r="H20" s="2"/>
      <c r="I20" s="2"/>
      <c r="J20" s="2"/>
      <c r="K20" s="2"/>
      <c r="L20" s="2"/>
      <c r="M20" s="2"/>
      <c r="N20" s="2"/>
      <c r="O20" s="2"/>
    </row>
    <row r="21" spans="1:15" x14ac:dyDescent="0.2">
      <c r="A21" s="2"/>
      <c r="B21" s="105" t="s">
        <v>21</v>
      </c>
      <c r="C21" s="161">
        <v>138</v>
      </c>
      <c r="D21" s="162">
        <v>414</v>
      </c>
      <c r="E21" s="163">
        <v>1242</v>
      </c>
      <c r="F21" s="2"/>
      <c r="G21" s="2">
        <v>138</v>
      </c>
      <c r="H21" s="2"/>
      <c r="I21" s="2"/>
      <c r="J21" s="2"/>
      <c r="K21" s="2"/>
      <c r="L21" s="2"/>
      <c r="M21" s="2"/>
      <c r="N21" s="2"/>
      <c r="O21" s="2"/>
    </row>
    <row r="22" spans="1:15" x14ac:dyDescent="0.2">
      <c r="A22" s="2"/>
      <c r="B22" s="105" t="s">
        <v>22</v>
      </c>
      <c r="C22" s="161">
        <v>157</v>
      </c>
      <c r="D22" s="162">
        <v>471</v>
      </c>
      <c r="E22" s="163">
        <v>1413</v>
      </c>
      <c r="F22" s="2"/>
      <c r="G22" s="2"/>
      <c r="H22" s="2"/>
      <c r="I22" s="2"/>
      <c r="J22" s="2"/>
      <c r="K22" s="2"/>
      <c r="L22" s="2"/>
      <c r="M22" s="2"/>
      <c r="N22" s="2"/>
      <c r="O22" s="2"/>
    </row>
    <row r="23" spans="1:15" x14ac:dyDescent="0.2">
      <c r="A23" s="2"/>
      <c r="B23" s="105" t="s">
        <v>23</v>
      </c>
      <c r="C23" s="162" t="s">
        <v>282</v>
      </c>
      <c r="D23" s="162"/>
      <c r="E23" s="163"/>
      <c r="F23" s="2"/>
      <c r="G23" s="2"/>
      <c r="H23" s="2"/>
      <c r="I23" s="2"/>
      <c r="J23" s="2"/>
      <c r="K23" s="2"/>
      <c r="L23" s="2"/>
      <c r="M23" s="2"/>
      <c r="N23" s="2"/>
      <c r="O23" s="2"/>
    </row>
    <row r="24" spans="1:15" x14ac:dyDescent="0.2">
      <c r="A24" s="2"/>
      <c r="B24" s="105" t="s">
        <v>24</v>
      </c>
      <c r="C24" s="162" t="s">
        <v>282</v>
      </c>
      <c r="D24" s="162"/>
      <c r="E24" s="163"/>
      <c r="F24" s="2"/>
      <c r="G24" s="2"/>
      <c r="H24" s="2"/>
      <c r="I24" s="2"/>
      <c r="J24" s="2"/>
      <c r="K24" s="2"/>
      <c r="L24" s="2"/>
      <c r="M24" s="2"/>
      <c r="N24" s="2"/>
      <c r="O24" s="2"/>
    </row>
    <row r="25" spans="1:15" x14ac:dyDescent="0.2">
      <c r="A25" s="2"/>
      <c r="B25" s="105" t="s">
        <v>25</v>
      </c>
      <c r="C25" s="162" t="s">
        <v>282</v>
      </c>
      <c r="D25" s="162"/>
      <c r="E25" s="163"/>
      <c r="F25" s="2"/>
      <c r="G25" s="2"/>
      <c r="H25" s="2"/>
      <c r="I25" s="2"/>
      <c r="J25" s="2"/>
      <c r="K25" s="2"/>
      <c r="L25" s="2"/>
      <c r="M25" s="2"/>
      <c r="N25" s="2"/>
      <c r="O25" s="2"/>
    </row>
    <row r="26" spans="1:15" x14ac:dyDescent="0.2">
      <c r="A26" s="2"/>
      <c r="B26" s="105" t="s">
        <v>26</v>
      </c>
      <c r="C26" s="162" t="s">
        <v>282</v>
      </c>
      <c r="D26" s="162"/>
      <c r="E26" s="163"/>
      <c r="F26" s="2"/>
      <c r="G26" s="2"/>
      <c r="H26" s="2"/>
      <c r="I26" s="2"/>
      <c r="J26" s="2"/>
      <c r="K26" s="2"/>
      <c r="L26" s="2"/>
      <c r="M26" s="2"/>
      <c r="N26" s="2"/>
      <c r="O26" s="2"/>
    </row>
    <row r="27" spans="1:15" x14ac:dyDescent="0.2">
      <c r="A27" s="2"/>
      <c r="B27" s="105" t="s">
        <v>27</v>
      </c>
      <c r="C27" s="162" t="s">
        <v>282</v>
      </c>
      <c r="D27" s="162"/>
      <c r="E27" s="163"/>
      <c r="F27" s="2"/>
      <c r="G27" s="2"/>
      <c r="H27" s="2"/>
      <c r="I27" s="2"/>
      <c r="J27" s="2"/>
      <c r="K27" s="2"/>
      <c r="L27" s="2"/>
      <c r="M27" s="2"/>
      <c r="N27" s="2"/>
      <c r="O27" s="2"/>
    </row>
    <row r="28" spans="1:15" x14ac:dyDescent="0.2">
      <c r="A28" s="2"/>
      <c r="B28" s="105" t="s">
        <v>28</v>
      </c>
      <c r="C28" s="162" t="s">
        <v>282</v>
      </c>
      <c r="D28" s="162"/>
      <c r="E28" s="163"/>
      <c r="F28" s="2"/>
      <c r="G28" s="2"/>
      <c r="H28" s="2"/>
      <c r="I28" s="2"/>
      <c r="J28" s="2"/>
      <c r="K28" s="2"/>
      <c r="L28" s="2"/>
      <c r="M28" s="2"/>
      <c r="N28" s="2"/>
      <c r="O28" s="2"/>
    </row>
    <row r="29" spans="1:15" x14ac:dyDescent="0.2">
      <c r="A29" s="2"/>
      <c r="B29" s="105" t="s">
        <v>29</v>
      </c>
      <c r="C29" s="162">
        <v>57</v>
      </c>
      <c r="D29" s="162">
        <v>228</v>
      </c>
      <c r="E29" s="163">
        <v>912</v>
      </c>
      <c r="F29" s="2"/>
      <c r="G29" s="2"/>
      <c r="H29" s="2"/>
      <c r="I29" s="2"/>
      <c r="J29" s="2"/>
      <c r="K29" s="2"/>
      <c r="L29" s="2"/>
      <c r="M29" s="2"/>
      <c r="N29" s="2"/>
      <c r="O29" s="2"/>
    </row>
    <row r="30" spans="1:15" x14ac:dyDescent="0.2">
      <c r="A30" s="2"/>
      <c r="B30" s="105" t="s">
        <v>30</v>
      </c>
      <c r="C30" s="162" t="s">
        <v>283</v>
      </c>
      <c r="D30" s="162"/>
      <c r="E30" s="163"/>
      <c r="F30" s="2"/>
      <c r="G30" s="2"/>
      <c r="H30" s="2"/>
      <c r="I30" s="2"/>
      <c r="J30" s="2"/>
      <c r="K30" s="2"/>
      <c r="L30" s="2"/>
      <c r="M30" s="2"/>
      <c r="N30" s="2"/>
      <c r="O30" s="2"/>
    </row>
    <row r="31" spans="1:15" x14ac:dyDescent="0.2">
      <c r="A31" s="2"/>
      <c r="B31" s="105" t="s">
        <v>31</v>
      </c>
      <c r="C31" s="162" t="s">
        <v>283</v>
      </c>
      <c r="D31" s="162"/>
      <c r="E31" s="163"/>
      <c r="F31" s="2"/>
      <c r="G31" s="2"/>
      <c r="H31" s="2"/>
      <c r="I31" s="2"/>
      <c r="J31" s="2"/>
      <c r="K31" s="2"/>
      <c r="L31" s="2"/>
      <c r="M31" s="2"/>
      <c r="N31" s="2"/>
      <c r="O31" s="2"/>
    </row>
    <row r="32" spans="1:15" x14ac:dyDescent="0.2">
      <c r="A32" s="2"/>
      <c r="B32" s="105" t="s">
        <v>32</v>
      </c>
      <c r="C32" s="162" t="s">
        <v>282</v>
      </c>
      <c r="D32" s="162"/>
      <c r="E32" s="163"/>
      <c r="F32" s="2"/>
      <c r="G32" s="2"/>
      <c r="H32" s="2"/>
      <c r="I32" s="2"/>
      <c r="J32" s="2"/>
      <c r="K32" s="2"/>
      <c r="L32" s="2"/>
      <c r="M32" s="2"/>
      <c r="N32" s="2"/>
      <c r="O32" s="2"/>
    </row>
    <row r="33" spans="1:15" x14ac:dyDescent="0.2">
      <c r="A33" s="2"/>
      <c r="B33" s="105" t="s">
        <v>33</v>
      </c>
      <c r="C33" s="162" t="s">
        <v>282</v>
      </c>
      <c r="D33" s="162"/>
      <c r="E33" s="163"/>
      <c r="F33" s="2"/>
      <c r="G33" s="2"/>
      <c r="H33" s="2"/>
      <c r="I33" s="2"/>
      <c r="J33" s="2"/>
      <c r="K33" s="2"/>
      <c r="L33" s="2"/>
      <c r="M33" s="2"/>
      <c r="N33" s="2"/>
      <c r="O33" s="2"/>
    </row>
    <row r="34" spans="1:15" x14ac:dyDescent="0.2">
      <c r="A34" s="2"/>
      <c r="B34" s="105" t="s">
        <v>34</v>
      </c>
      <c r="C34" s="162" t="s">
        <v>282</v>
      </c>
      <c r="D34" s="162"/>
      <c r="E34" s="163"/>
      <c r="F34" s="2"/>
      <c r="G34" s="2"/>
      <c r="H34" s="2"/>
      <c r="I34" s="2"/>
      <c r="J34" s="2"/>
      <c r="K34" s="2"/>
      <c r="L34" s="2"/>
      <c r="M34" s="2"/>
      <c r="N34" s="2"/>
      <c r="O34" s="2"/>
    </row>
    <row r="35" spans="1:15" x14ac:dyDescent="0.2">
      <c r="A35" s="2"/>
      <c r="B35" s="105" t="s">
        <v>35</v>
      </c>
      <c r="C35" s="162" t="s">
        <v>282</v>
      </c>
      <c r="D35" s="162"/>
      <c r="E35" s="163"/>
      <c r="F35" s="2"/>
      <c r="G35" s="2"/>
      <c r="H35" s="2"/>
      <c r="I35" s="2"/>
      <c r="J35" s="2"/>
      <c r="K35" s="2"/>
      <c r="L35" s="2"/>
      <c r="M35" s="2"/>
      <c r="N35" s="2"/>
      <c r="O35" s="2"/>
    </row>
    <row r="36" spans="1:15" x14ac:dyDescent="0.2">
      <c r="A36" s="2"/>
      <c r="B36" s="105" t="s">
        <v>36</v>
      </c>
      <c r="C36" s="162" t="s">
        <v>282</v>
      </c>
      <c r="D36" s="162"/>
      <c r="E36" s="163"/>
      <c r="F36" s="2"/>
      <c r="G36" s="2"/>
      <c r="H36" s="2"/>
      <c r="I36" s="2"/>
      <c r="J36" s="2"/>
      <c r="K36" s="2"/>
      <c r="L36" s="2"/>
      <c r="M36" s="2"/>
      <c r="N36" s="2"/>
      <c r="O36" s="2"/>
    </row>
    <row r="37" spans="1:15" x14ac:dyDescent="0.2">
      <c r="A37" s="2"/>
      <c r="B37" s="105" t="s">
        <v>37</v>
      </c>
      <c r="C37" s="162" t="s">
        <v>282</v>
      </c>
      <c r="D37" s="162"/>
      <c r="E37" s="163"/>
      <c r="F37" s="2"/>
      <c r="G37" s="2"/>
      <c r="H37" s="2"/>
      <c r="I37" s="2"/>
      <c r="J37" s="2"/>
      <c r="K37" s="2"/>
      <c r="L37" s="2"/>
      <c r="M37" s="2"/>
      <c r="N37" s="2"/>
      <c r="O37" s="2"/>
    </row>
    <row r="38" spans="1:15" x14ac:dyDescent="0.2">
      <c r="A38" s="2"/>
      <c r="B38" s="105" t="s">
        <v>38</v>
      </c>
      <c r="C38" s="162" t="s">
        <v>282</v>
      </c>
      <c r="D38" s="162"/>
      <c r="E38" s="163"/>
      <c r="F38" s="2"/>
      <c r="G38" s="2"/>
      <c r="H38" s="2"/>
      <c r="I38" s="2"/>
      <c r="J38" s="2"/>
      <c r="K38" s="2"/>
      <c r="L38" s="2"/>
      <c r="M38" s="2"/>
      <c r="N38" s="2"/>
      <c r="O38" s="2"/>
    </row>
    <row r="39" spans="1:15" x14ac:dyDescent="0.2">
      <c r="A39" s="2"/>
      <c r="B39" s="105" t="s">
        <v>39</v>
      </c>
      <c r="C39" s="162" t="s">
        <v>282</v>
      </c>
      <c r="D39" s="162"/>
      <c r="E39" s="163"/>
      <c r="F39" s="2"/>
      <c r="G39" s="2"/>
      <c r="H39" s="2"/>
      <c r="I39" s="2"/>
      <c r="J39" s="2"/>
      <c r="K39" s="2"/>
      <c r="L39" s="2"/>
      <c r="M39" s="2"/>
      <c r="N39" s="2"/>
      <c r="O39" s="2"/>
    </row>
    <row r="40" spans="1:15" x14ac:dyDescent="0.2">
      <c r="A40" s="2"/>
      <c r="B40" s="105" t="s">
        <v>40</v>
      </c>
      <c r="C40" s="162" t="s">
        <v>282</v>
      </c>
      <c r="D40" s="162"/>
      <c r="E40" s="163"/>
      <c r="F40" s="2"/>
      <c r="G40" s="2"/>
      <c r="H40" s="2"/>
      <c r="I40" s="2"/>
      <c r="J40" s="2"/>
      <c r="K40" s="2"/>
      <c r="L40" s="2"/>
      <c r="M40" s="2"/>
      <c r="N40" s="2"/>
      <c r="O40" s="2"/>
    </row>
    <row r="41" spans="1:15" x14ac:dyDescent="0.2">
      <c r="A41" s="2"/>
      <c r="B41" s="105" t="s">
        <v>41</v>
      </c>
      <c r="C41" s="162" t="s">
        <v>282</v>
      </c>
      <c r="D41" s="162"/>
      <c r="E41" s="163"/>
      <c r="F41" s="2"/>
      <c r="G41" s="2"/>
      <c r="H41" s="2"/>
      <c r="I41" s="2"/>
      <c r="J41" s="2"/>
      <c r="K41" s="2"/>
      <c r="L41" s="2"/>
      <c r="M41" s="2"/>
      <c r="N41" s="2"/>
      <c r="O41" s="2"/>
    </row>
    <row r="42" spans="1:15" x14ac:dyDescent="0.2">
      <c r="A42" s="2"/>
      <c r="B42" s="105" t="s">
        <v>42</v>
      </c>
      <c r="C42" s="162">
        <v>70</v>
      </c>
      <c r="D42" s="162">
        <v>210</v>
      </c>
      <c r="E42" s="163">
        <v>630</v>
      </c>
      <c r="F42" s="2"/>
      <c r="G42" s="2"/>
      <c r="H42" s="2"/>
      <c r="I42" s="2"/>
      <c r="J42" s="2"/>
      <c r="K42" s="2"/>
      <c r="L42" s="2"/>
      <c r="M42" s="2"/>
      <c r="N42" s="2"/>
      <c r="O42" s="2"/>
    </row>
    <row r="43" spans="1:15" x14ac:dyDescent="0.2">
      <c r="A43" s="2"/>
      <c r="B43" s="105" t="s">
        <v>43</v>
      </c>
      <c r="C43" s="162" t="s">
        <v>282</v>
      </c>
      <c r="D43" s="162"/>
      <c r="E43" s="163"/>
      <c r="F43" s="2"/>
      <c r="G43" s="2"/>
      <c r="H43" s="2"/>
      <c r="I43" s="2"/>
      <c r="J43" s="2"/>
      <c r="K43" s="2"/>
      <c r="L43" s="2"/>
      <c r="M43" s="2"/>
      <c r="N43" s="2"/>
      <c r="O43" s="2"/>
    </row>
    <row r="44" spans="1:15" x14ac:dyDescent="0.2">
      <c r="A44" s="2"/>
      <c r="B44" s="105" t="s">
        <v>44</v>
      </c>
      <c r="C44" s="162" t="s">
        <v>282</v>
      </c>
      <c r="D44" s="162"/>
      <c r="E44" s="163"/>
      <c r="F44" s="2"/>
      <c r="G44" s="2"/>
      <c r="H44" s="2"/>
      <c r="I44" s="2"/>
      <c r="J44" s="2"/>
      <c r="K44" s="2"/>
      <c r="L44" s="2"/>
      <c r="M44" s="2"/>
      <c r="N44" s="2"/>
      <c r="O44" s="2"/>
    </row>
    <row r="45" spans="1:15" x14ac:dyDescent="0.2">
      <c r="A45" s="2"/>
      <c r="B45" s="105" t="s">
        <v>45</v>
      </c>
      <c r="C45" s="162" t="s">
        <v>282</v>
      </c>
      <c r="D45" s="162"/>
      <c r="E45" s="163"/>
      <c r="F45" s="2"/>
      <c r="G45" s="2"/>
      <c r="H45" s="2"/>
      <c r="I45" s="2"/>
      <c r="J45" s="2"/>
      <c r="K45" s="2"/>
      <c r="L45" s="2"/>
      <c r="M45" s="2"/>
      <c r="N45" s="2"/>
      <c r="O45" s="2"/>
    </row>
    <row r="46" spans="1:15" x14ac:dyDescent="0.2">
      <c r="A46" s="2"/>
      <c r="B46" s="105" t="s">
        <v>46</v>
      </c>
      <c r="C46" s="162" t="s">
        <v>282</v>
      </c>
      <c r="D46" s="162"/>
      <c r="E46" s="163"/>
      <c r="F46" s="2"/>
      <c r="G46" s="2"/>
      <c r="H46" s="2"/>
      <c r="I46" s="2"/>
      <c r="J46" s="2"/>
      <c r="K46" s="2"/>
      <c r="L46" s="2"/>
      <c r="M46" s="2"/>
      <c r="N46" s="2"/>
      <c r="O46" s="2"/>
    </row>
    <row r="47" spans="1:15" x14ac:dyDescent="0.2">
      <c r="A47" s="2"/>
      <c r="B47" s="153" t="s">
        <v>47</v>
      </c>
      <c r="C47" s="162">
        <v>45</v>
      </c>
      <c r="D47" s="162">
        <v>135</v>
      </c>
      <c r="E47" s="163">
        <v>405</v>
      </c>
      <c r="F47" s="2"/>
      <c r="G47" s="2"/>
      <c r="H47" s="2"/>
      <c r="I47" s="2"/>
      <c r="J47" s="2"/>
      <c r="K47" s="2"/>
      <c r="L47" s="2"/>
      <c r="M47" s="2"/>
      <c r="N47" s="2"/>
      <c r="O47" s="2"/>
    </row>
    <row r="48" spans="1:15" x14ac:dyDescent="0.2">
      <c r="A48" s="2"/>
      <c r="B48" s="105" t="s">
        <v>48</v>
      </c>
      <c r="C48" s="162">
        <v>90</v>
      </c>
      <c r="D48" s="162">
        <v>270</v>
      </c>
      <c r="E48" s="163">
        <v>810</v>
      </c>
      <c r="F48" s="2"/>
      <c r="G48" s="2">
        <v>90</v>
      </c>
      <c r="H48" s="100" t="s">
        <v>293</v>
      </c>
      <c r="I48" s="2"/>
      <c r="J48" s="2"/>
      <c r="K48" s="2"/>
      <c r="L48" s="2"/>
      <c r="M48" s="2"/>
      <c r="N48" s="2"/>
      <c r="O48" s="2"/>
    </row>
    <row r="49" spans="1:15" x14ac:dyDescent="0.2">
      <c r="A49" s="2"/>
      <c r="B49" s="105" t="s">
        <v>49</v>
      </c>
      <c r="C49" s="162">
        <v>52</v>
      </c>
      <c r="D49" s="162">
        <v>156</v>
      </c>
      <c r="E49" s="163">
        <v>468</v>
      </c>
      <c r="F49" s="2"/>
      <c r="G49" s="2">
        <v>52</v>
      </c>
      <c r="H49" s="100" t="s">
        <v>292</v>
      </c>
      <c r="I49" s="2"/>
      <c r="J49" s="2"/>
      <c r="K49" s="2"/>
      <c r="L49" s="2"/>
      <c r="M49" s="2"/>
      <c r="N49" s="2"/>
      <c r="O49" s="2"/>
    </row>
    <row r="50" spans="1:15" x14ac:dyDescent="0.2">
      <c r="A50" s="2"/>
      <c r="B50" s="106" t="s">
        <v>50</v>
      </c>
      <c r="C50" s="164">
        <v>84</v>
      </c>
      <c r="D50" s="164">
        <v>336</v>
      </c>
      <c r="E50" s="165">
        <v>1344</v>
      </c>
      <c r="F50" s="2"/>
      <c r="G50" s="2">
        <v>45</v>
      </c>
      <c r="H50" s="100" t="s">
        <v>294</v>
      </c>
      <c r="I50" s="2"/>
      <c r="J50" s="2"/>
      <c r="K50" s="2"/>
      <c r="L50" s="2"/>
      <c r="M50" s="2"/>
      <c r="N50" s="2"/>
      <c r="O50" s="2"/>
    </row>
    <row r="51" spans="1:15" x14ac:dyDescent="0.2">
      <c r="A51" s="2"/>
      <c r="B51" s="107"/>
      <c r="C51" s="108"/>
      <c r="D51" s="108"/>
      <c r="E51" s="109"/>
      <c r="F51" s="2"/>
      <c r="G51" s="2">
        <f>G50+G49+G48</f>
        <v>187</v>
      </c>
      <c r="H51" s="100" t="s">
        <v>297</v>
      </c>
      <c r="I51" s="2"/>
      <c r="J51" s="2"/>
      <c r="K51" s="2"/>
      <c r="L51" s="2"/>
      <c r="M51" s="2"/>
      <c r="N51" s="2"/>
      <c r="O51" s="2"/>
    </row>
    <row r="52" spans="1:15" x14ac:dyDescent="0.2">
      <c r="A52" s="2"/>
      <c r="B52" s="85" t="s">
        <v>51</v>
      </c>
      <c r="C52" s="86" t="s">
        <v>17</v>
      </c>
      <c r="D52" s="87"/>
      <c r="E52" s="88"/>
      <c r="F52" s="2"/>
      <c r="G52" s="2"/>
      <c r="H52" s="2"/>
      <c r="I52" s="2"/>
      <c r="J52" s="2"/>
      <c r="K52" s="2"/>
      <c r="L52" s="2"/>
      <c r="M52" s="2"/>
      <c r="N52" s="2"/>
      <c r="O52" s="2"/>
    </row>
    <row r="53" spans="1:15" x14ac:dyDescent="0.2">
      <c r="A53" s="2"/>
      <c r="B53" s="102"/>
      <c r="C53" s="97" t="s">
        <v>18</v>
      </c>
      <c r="D53" s="103" t="s">
        <v>19</v>
      </c>
      <c r="E53" s="104" t="s">
        <v>20</v>
      </c>
      <c r="F53" s="2"/>
      <c r="G53" s="2"/>
      <c r="H53" s="2"/>
      <c r="I53" s="2"/>
      <c r="J53" s="2"/>
      <c r="K53" s="2"/>
      <c r="L53" s="2"/>
      <c r="M53" s="2"/>
      <c r="N53" s="2"/>
      <c r="O53" s="2"/>
    </row>
    <row r="54" spans="1:15" x14ac:dyDescent="0.2">
      <c r="A54" s="2"/>
      <c r="B54" s="110" t="s">
        <v>52</v>
      </c>
      <c r="C54" s="188" t="s">
        <v>284</v>
      </c>
      <c r="D54" s="189"/>
      <c r="E54" s="190"/>
      <c r="F54" s="2"/>
      <c r="G54" s="2"/>
      <c r="H54" s="2"/>
      <c r="I54" s="2"/>
      <c r="J54" s="2"/>
      <c r="K54" s="2"/>
      <c r="L54" s="2"/>
      <c r="M54" s="2"/>
      <c r="N54" s="2"/>
      <c r="O54" s="2"/>
    </row>
    <row r="55" spans="1:15" x14ac:dyDescent="0.2">
      <c r="A55" s="2"/>
      <c r="B55" s="105" t="s">
        <v>53</v>
      </c>
      <c r="C55" s="162">
        <v>6</v>
      </c>
      <c r="D55" s="162" t="s">
        <v>285</v>
      </c>
      <c r="E55" s="163"/>
      <c r="F55" s="2"/>
      <c r="G55" s="2"/>
      <c r="H55" s="2"/>
      <c r="I55" s="2"/>
      <c r="J55" s="2"/>
      <c r="K55" s="2"/>
      <c r="L55" s="2"/>
      <c r="M55" s="2"/>
      <c r="N55" s="2"/>
      <c r="O55" s="2"/>
    </row>
    <row r="56" spans="1:15" x14ac:dyDescent="0.2">
      <c r="A56" s="2"/>
      <c r="B56" s="105" t="s">
        <v>54</v>
      </c>
      <c r="C56" s="166">
        <v>0.6</v>
      </c>
      <c r="D56" s="162" t="s">
        <v>286</v>
      </c>
      <c r="E56" s="163"/>
      <c r="F56" s="2"/>
      <c r="G56" s="2"/>
      <c r="H56" s="2"/>
      <c r="I56" s="2"/>
      <c r="J56" s="2"/>
      <c r="K56" s="2"/>
      <c r="L56" s="2"/>
      <c r="M56" s="2"/>
      <c r="N56" s="2"/>
      <c r="O56" s="2"/>
    </row>
    <row r="57" spans="1:15" x14ac:dyDescent="0.2">
      <c r="A57" s="2"/>
      <c r="B57" s="105" t="s">
        <v>55</v>
      </c>
      <c r="C57" s="191" t="s">
        <v>284</v>
      </c>
      <c r="D57" s="192"/>
      <c r="E57" s="193"/>
      <c r="F57" s="2"/>
      <c r="G57" s="2"/>
      <c r="H57" s="2"/>
      <c r="I57" s="2"/>
      <c r="J57" s="2"/>
      <c r="K57" s="2"/>
      <c r="L57" s="2"/>
      <c r="M57" s="2"/>
      <c r="N57" s="2"/>
      <c r="O57" s="2"/>
    </row>
    <row r="58" spans="1:15" x14ac:dyDescent="0.2">
      <c r="A58" s="2"/>
      <c r="B58" s="105" t="s">
        <v>56</v>
      </c>
      <c r="C58" s="162">
        <v>16</v>
      </c>
      <c r="D58" s="162" t="s">
        <v>287</v>
      </c>
      <c r="E58" s="163"/>
      <c r="F58" s="2"/>
      <c r="G58" s="2"/>
      <c r="H58" s="2"/>
      <c r="I58" s="2"/>
      <c r="J58" s="2"/>
      <c r="K58" s="2"/>
      <c r="L58" s="2"/>
      <c r="M58" s="2"/>
      <c r="N58" s="2"/>
      <c r="O58" s="2"/>
    </row>
    <row r="59" spans="1:15" x14ac:dyDescent="0.2">
      <c r="A59" s="2"/>
      <c r="B59" s="105" t="s">
        <v>57</v>
      </c>
      <c r="C59" s="162">
        <v>18</v>
      </c>
      <c r="D59" s="162" t="s">
        <v>288</v>
      </c>
      <c r="E59" s="163"/>
      <c r="F59" s="2"/>
      <c r="G59" s="2"/>
      <c r="H59" s="2"/>
      <c r="I59" s="2"/>
      <c r="J59" s="2"/>
      <c r="K59" s="2"/>
      <c r="L59" s="2"/>
      <c r="M59" s="2"/>
      <c r="N59" s="2"/>
      <c r="O59" s="2"/>
    </row>
    <row r="60" spans="1:15" x14ac:dyDescent="0.2">
      <c r="A60" s="2"/>
      <c r="B60" s="105" t="s">
        <v>58</v>
      </c>
      <c r="C60" s="162">
        <v>20</v>
      </c>
      <c r="D60" s="162" t="s">
        <v>289</v>
      </c>
      <c r="E60" s="163"/>
      <c r="F60" s="2"/>
      <c r="G60" s="2"/>
      <c r="H60" s="2"/>
      <c r="I60" s="2"/>
      <c r="J60" s="2"/>
      <c r="K60" s="2"/>
      <c r="L60" s="2"/>
      <c r="M60" s="2"/>
      <c r="N60" s="2"/>
      <c r="O60" s="2"/>
    </row>
    <row r="61" spans="1:15" x14ac:dyDescent="0.2">
      <c r="A61" s="2"/>
      <c r="B61" s="153" t="s">
        <v>59</v>
      </c>
      <c r="C61" s="162">
        <v>45</v>
      </c>
      <c r="D61" s="162" t="s">
        <v>289</v>
      </c>
      <c r="E61" s="163"/>
      <c r="F61" s="2"/>
      <c r="G61" s="2"/>
      <c r="H61" s="2"/>
      <c r="I61" s="2"/>
      <c r="J61" s="2"/>
      <c r="K61" s="2"/>
      <c r="L61" s="2"/>
      <c r="M61" s="2"/>
      <c r="N61" s="2"/>
      <c r="O61" s="2"/>
    </row>
    <row r="62" spans="1:15" x14ac:dyDescent="0.2">
      <c r="A62" s="2"/>
      <c r="B62" s="105" t="s">
        <v>60</v>
      </c>
      <c r="C62" s="194" t="s">
        <v>284</v>
      </c>
      <c r="D62" s="195"/>
      <c r="E62" s="196"/>
      <c r="F62" s="2"/>
      <c r="G62" s="2"/>
      <c r="H62" s="2"/>
      <c r="I62" s="2"/>
      <c r="J62" s="2"/>
      <c r="K62" s="2"/>
      <c r="L62" s="2"/>
      <c r="M62" s="2"/>
      <c r="N62" s="2"/>
      <c r="O62" s="2"/>
    </row>
    <row r="63" spans="1:15" x14ac:dyDescent="0.2">
      <c r="A63" s="2"/>
      <c r="B63" s="106" t="s">
        <v>61</v>
      </c>
      <c r="C63" s="197" t="s">
        <v>284</v>
      </c>
      <c r="D63" s="198"/>
      <c r="E63" s="199"/>
      <c r="F63" s="2"/>
      <c r="G63" s="2"/>
      <c r="H63" s="2"/>
      <c r="I63" s="2"/>
      <c r="J63" s="2"/>
      <c r="K63" s="2"/>
      <c r="L63" s="2"/>
      <c r="M63" s="2"/>
      <c r="N63" s="2"/>
      <c r="O63" s="2"/>
    </row>
    <row r="64" spans="1:15" x14ac:dyDescent="0.2">
      <c r="A64" s="2"/>
      <c r="B64" s="154" t="s">
        <v>62</v>
      </c>
      <c r="C64" s="2"/>
      <c r="D64" s="2"/>
      <c r="E64" s="2"/>
      <c r="F64" s="2"/>
      <c r="G64" s="2"/>
      <c r="H64" s="2"/>
      <c r="I64" s="2"/>
      <c r="J64" s="2"/>
      <c r="K64" s="2"/>
      <c r="L64" s="2"/>
      <c r="M64" s="2"/>
      <c r="N64" s="2"/>
      <c r="O64" s="2"/>
    </row>
    <row r="65" spans="1:15" x14ac:dyDescent="0.2">
      <c r="A65" s="2"/>
      <c r="B65" s="154" t="s">
        <v>63</v>
      </c>
      <c r="C65" s="2"/>
      <c r="D65" s="2"/>
      <c r="E65" s="2"/>
      <c r="F65" s="2"/>
      <c r="G65" s="2"/>
      <c r="H65" s="2"/>
      <c r="I65" s="2"/>
      <c r="J65" s="2"/>
      <c r="K65" s="2"/>
      <c r="L65" s="2"/>
      <c r="M65" s="2"/>
      <c r="N65" s="2"/>
      <c r="O65" s="2"/>
    </row>
    <row r="66" spans="1:15" x14ac:dyDescent="0.2">
      <c r="A66" s="2"/>
      <c r="B66" s="154" t="s">
        <v>64</v>
      </c>
      <c r="C66" s="2"/>
      <c r="D66" s="2"/>
      <c r="E66" s="2"/>
      <c r="F66" s="2"/>
      <c r="G66" s="2"/>
      <c r="H66" s="2"/>
      <c r="I66" s="2"/>
      <c r="J66" s="2"/>
      <c r="K66" s="2"/>
      <c r="L66" s="2"/>
      <c r="M66" s="2"/>
      <c r="N66" s="2"/>
      <c r="O66" s="2"/>
    </row>
    <row r="67" spans="1:15" x14ac:dyDescent="0.2">
      <c r="A67" s="2"/>
      <c r="B67" s="111"/>
      <c r="C67" s="2"/>
      <c r="D67" s="2"/>
      <c r="E67" s="2"/>
      <c r="F67" s="2"/>
      <c r="G67" s="2"/>
      <c r="H67" s="2"/>
      <c r="I67" s="2"/>
      <c r="J67" s="2"/>
      <c r="K67" s="2"/>
      <c r="L67" s="2"/>
      <c r="M67" s="2"/>
      <c r="N67" s="2"/>
      <c r="O67" s="2"/>
    </row>
    <row r="68" spans="1:15" ht="13.5" thickBot="1" x14ac:dyDescent="0.25">
      <c r="A68" s="2"/>
      <c r="B68" s="2"/>
      <c r="C68" s="2"/>
      <c r="D68" s="2"/>
      <c r="E68" s="2"/>
      <c r="F68" s="2"/>
      <c r="G68" s="2"/>
      <c r="H68" s="2"/>
      <c r="I68" s="2"/>
      <c r="J68" s="2"/>
      <c r="K68" s="2"/>
      <c r="L68" s="2"/>
      <c r="M68" s="2"/>
      <c r="N68" s="2"/>
      <c r="O68" s="2"/>
    </row>
    <row r="69" spans="1:15" ht="60" customHeight="1" x14ac:dyDescent="0.2">
      <c r="A69" s="112" t="s">
        <v>65</v>
      </c>
      <c r="B69" s="113" t="s">
        <v>66</v>
      </c>
      <c r="C69" s="114" t="s">
        <v>67</v>
      </c>
      <c r="D69" s="2"/>
      <c r="E69" s="2"/>
      <c r="F69" s="2"/>
      <c r="G69" s="2"/>
      <c r="H69" s="2"/>
      <c r="I69" s="2"/>
      <c r="J69" s="2"/>
      <c r="K69" s="2"/>
      <c r="L69" s="2"/>
      <c r="M69" s="2"/>
      <c r="N69" s="2"/>
      <c r="O69" s="2"/>
    </row>
    <row r="70" spans="1:15" ht="51" x14ac:dyDescent="0.2">
      <c r="A70" s="115" t="s">
        <v>3</v>
      </c>
      <c r="B70" s="116" t="s">
        <v>68</v>
      </c>
      <c r="C70" s="117">
        <v>20</v>
      </c>
      <c r="D70" s="2"/>
      <c r="E70" s="2"/>
      <c r="F70" s="2"/>
      <c r="G70" s="2"/>
      <c r="H70" s="2"/>
      <c r="I70" s="2"/>
      <c r="J70" s="2"/>
      <c r="K70" s="2"/>
      <c r="L70" s="2"/>
      <c r="M70" s="2"/>
      <c r="N70" s="2"/>
      <c r="O70" s="2"/>
    </row>
    <row r="71" spans="1:15" ht="38.25" x14ac:dyDescent="0.2">
      <c r="A71" s="115" t="s">
        <v>4</v>
      </c>
      <c r="B71" s="150" t="s">
        <v>69</v>
      </c>
      <c r="C71" s="117">
        <v>20</v>
      </c>
      <c r="D71" s="2"/>
      <c r="E71" s="2"/>
      <c r="F71" s="2"/>
      <c r="G71" s="2"/>
      <c r="H71" s="2"/>
      <c r="I71" s="2"/>
      <c r="J71" s="2"/>
      <c r="K71" s="2"/>
      <c r="L71" s="2"/>
      <c r="M71" s="2"/>
      <c r="N71" s="2"/>
      <c r="O71" s="2"/>
    </row>
    <row r="72" spans="1:15" ht="76.5" x14ac:dyDescent="0.2">
      <c r="A72" s="115" t="s">
        <v>70</v>
      </c>
      <c r="B72" s="151" t="s">
        <v>71</v>
      </c>
      <c r="C72" s="119">
        <v>15</v>
      </c>
      <c r="D72" s="2"/>
      <c r="E72" s="2"/>
      <c r="F72" s="2"/>
      <c r="G72" s="2"/>
      <c r="H72" s="2"/>
      <c r="I72" s="2"/>
      <c r="J72" s="2"/>
      <c r="K72" s="2"/>
      <c r="L72" s="2"/>
      <c r="M72" s="2"/>
      <c r="N72" s="2"/>
      <c r="O72" s="2"/>
    </row>
    <row r="73" spans="1:15" ht="63.75" x14ac:dyDescent="0.2">
      <c r="A73" s="152" t="s">
        <v>72</v>
      </c>
      <c r="B73" s="150" t="s">
        <v>73</v>
      </c>
      <c r="C73" s="119">
        <v>12</v>
      </c>
      <c r="D73" s="2"/>
      <c r="E73" s="2"/>
      <c r="F73" s="2"/>
      <c r="G73" s="2"/>
      <c r="H73" s="2"/>
      <c r="I73" s="2"/>
      <c r="J73" s="2"/>
      <c r="K73" s="2"/>
      <c r="L73" s="2"/>
      <c r="M73" s="2"/>
      <c r="N73" s="2"/>
      <c r="O73" s="2"/>
    </row>
    <row r="74" spans="1:15" ht="63.75" x14ac:dyDescent="0.2">
      <c r="A74" s="115" t="s">
        <v>74</v>
      </c>
      <c r="B74" s="118" t="s">
        <v>75</v>
      </c>
      <c r="C74" s="119">
        <v>8</v>
      </c>
      <c r="D74" s="2"/>
      <c r="E74" s="2"/>
      <c r="F74" s="2"/>
      <c r="G74" s="2"/>
      <c r="H74" s="2"/>
      <c r="I74" s="2"/>
      <c r="J74" s="2"/>
      <c r="K74" s="2"/>
      <c r="L74" s="2"/>
      <c r="M74" s="2"/>
      <c r="N74" s="2"/>
      <c r="O74" s="2"/>
    </row>
    <row r="75" spans="1:15" ht="63.75" x14ac:dyDescent="0.2">
      <c r="A75" s="115" t="s">
        <v>76</v>
      </c>
      <c r="B75" s="118" t="s">
        <v>77</v>
      </c>
      <c r="C75" s="119">
        <v>6</v>
      </c>
      <c r="D75" s="2"/>
      <c r="E75" s="2"/>
      <c r="F75" s="2"/>
      <c r="G75" s="2"/>
      <c r="H75" s="2"/>
      <c r="I75" s="2"/>
      <c r="J75" s="2"/>
      <c r="K75" s="2"/>
      <c r="L75" s="2"/>
      <c r="M75" s="2"/>
      <c r="N75" s="2"/>
      <c r="O75" s="2"/>
    </row>
    <row r="76" spans="1:15" ht="63.75" x14ac:dyDescent="0.2">
      <c r="A76" s="115" t="s">
        <v>78</v>
      </c>
      <c r="B76" s="118" t="s">
        <v>79</v>
      </c>
      <c r="C76" s="119">
        <v>5</v>
      </c>
      <c r="D76" s="2"/>
      <c r="E76" s="2"/>
      <c r="F76" s="2"/>
      <c r="G76" s="2"/>
      <c r="H76" s="2"/>
      <c r="I76" s="2"/>
      <c r="J76" s="2"/>
      <c r="K76" s="2"/>
      <c r="L76" s="2"/>
      <c r="M76" s="2"/>
      <c r="N76" s="2"/>
      <c r="O76" s="2"/>
    </row>
    <row r="77" spans="1:15" ht="51" x14ac:dyDescent="0.2">
      <c r="A77" s="115" t="s">
        <v>80</v>
      </c>
      <c r="B77" s="118" t="s">
        <v>81</v>
      </c>
      <c r="C77" s="119">
        <v>4</v>
      </c>
      <c r="D77" s="2"/>
      <c r="E77" s="2"/>
      <c r="F77" s="2"/>
      <c r="G77" s="2"/>
      <c r="H77" s="2"/>
      <c r="I77" s="2"/>
      <c r="J77" s="2"/>
      <c r="K77" s="2"/>
      <c r="L77" s="2"/>
      <c r="M77" s="2"/>
      <c r="N77" s="2"/>
      <c r="O77" s="2"/>
    </row>
    <row r="78" spans="1:15" ht="51" x14ac:dyDescent="0.2">
      <c r="A78" s="115" t="s">
        <v>10</v>
      </c>
      <c r="B78" s="118" t="s">
        <v>81</v>
      </c>
      <c r="C78" s="119">
        <v>2</v>
      </c>
      <c r="D78" s="2"/>
      <c r="E78" s="2"/>
      <c r="F78" s="2"/>
      <c r="G78" s="2"/>
      <c r="H78" s="2"/>
      <c r="I78" s="2"/>
      <c r="J78" s="2"/>
      <c r="K78" s="2"/>
      <c r="L78" s="2"/>
      <c r="M78" s="2"/>
      <c r="N78" s="2"/>
      <c r="O78" s="2"/>
    </row>
    <row r="79" spans="1:15" ht="25.5" x14ac:dyDescent="0.2">
      <c r="A79" s="115" t="s">
        <v>82</v>
      </c>
      <c r="B79" s="118" t="s">
        <v>83</v>
      </c>
      <c r="C79" s="120">
        <v>3</v>
      </c>
      <c r="D79" s="2"/>
      <c r="E79" s="2"/>
      <c r="F79" s="2"/>
      <c r="G79" s="2"/>
      <c r="H79" s="2"/>
      <c r="I79" s="2"/>
      <c r="J79" s="2"/>
      <c r="K79" s="2"/>
      <c r="L79" s="2"/>
      <c r="M79" s="2"/>
      <c r="N79" s="2"/>
      <c r="O79" s="2"/>
    </row>
    <row r="80" spans="1:15" ht="25.5" x14ac:dyDescent="0.2">
      <c r="A80" s="115" t="s">
        <v>84</v>
      </c>
      <c r="B80" s="118" t="s">
        <v>85</v>
      </c>
      <c r="C80" s="119">
        <v>5</v>
      </c>
      <c r="D80" s="2"/>
      <c r="E80" s="2"/>
      <c r="F80" s="2"/>
      <c r="G80" s="2"/>
      <c r="H80" s="2"/>
      <c r="I80" s="2"/>
      <c r="J80" s="2"/>
      <c r="K80" s="2"/>
      <c r="L80" s="2"/>
      <c r="M80" s="2"/>
      <c r="N80" s="2"/>
      <c r="O80" s="2"/>
    </row>
    <row r="81" spans="1:15" ht="38.25" x14ac:dyDescent="0.2">
      <c r="A81" s="115" t="s">
        <v>86</v>
      </c>
      <c r="B81" s="118" t="s">
        <v>87</v>
      </c>
      <c r="C81" s="119">
        <v>1</v>
      </c>
      <c r="D81" s="2"/>
      <c r="E81" s="2"/>
      <c r="F81" s="2"/>
      <c r="G81" s="2"/>
      <c r="H81" s="2"/>
      <c r="I81" s="2"/>
      <c r="J81" s="2"/>
      <c r="K81" s="2"/>
      <c r="L81" s="2"/>
      <c r="M81" s="2"/>
      <c r="N81" s="2"/>
      <c r="O81" s="2"/>
    </row>
    <row r="82" spans="1:15" ht="63.75" x14ac:dyDescent="0.2">
      <c r="A82" s="115" t="s">
        <v>12</v>
      </c>
      <c r="B82" s="118" t="s">
        <v>88</v>
      </c>
      <c r="C82" s="119" t="s">
        <v>89</v>
      </c>
      <c r="D82" s="2"/>
      <c r="E82" s="2"/>
      <c r="F82" s="2"/>
      <c r="G82" s="2"/>
      <c r="H82" s="2"/>
      <c r="I82" s="2"/>
      <c r="J82" s="2"/>
      <c r="K82" s="2"/>
      <c r="L82" s="2"/>
      <c r="M82" s="2"/>
      <c r="N82" s="2"/>
      <c r="O82" s="2"/>
    </row>
    <row r="83" spans="1:15" ht="38.25" x14ac:dyDescent="0.2">
      <c r="A83" s="121" t="s">
        <v>90</v>
      </c>
      <c r="B83" s="122" t="s">
        <v>91</v>
      </c>
      <c r="C83" s="123" t="s">
        <v>89</v>
      </c>
      <c r="D83" s="2"/>
      <c r="E83" s="2"/>
      <c r="F83" s="2"/>
      <c r="G83" s="2"/>
      <c r="H83" s="2"/>
      <c r="I83" s="2"/>
      <c r="J83" s="2"/>
      <c r="K83" s="2"/>
      <c r="L83" s="2"/>
      <c r="M83" s="2"/>
      <c r="N83" s="2"/>
      <c r="O83" s="2"/>
    </row>
  </sheetData>
  <mergeCells count="4">
    <mergeCell ref="C54:E54"/>
    <mergeCell ref="C57:E57"/>
    <mergeCell ref="C62:E62"/>
    <mergeCell ref="C63:E6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16A6-6783-43E8-9567-0966D35D4407}">
  <dimension ref="A1:C21"/>
  <sheetViews>
    <sheetView workbookViewId="0"/>
  </sheetViews>
  <sheetFormatPr defaultColWidth="9.33203125" defaultRowHeight="12.75" x14ac:dyDescent="0.2"/>
  <cols>
    <col min="1" max="1" width="32.33203125" style="100" customWidth="1"/>
    <col min="2" max="2" width="21" style="100" customWidth="1"/>
    <col min="3" max="3" width="61.1640625" style="100" customWidth="1"/>
    <col min="4" max="16384" width="9.33203125" style="100"/>
  </cols>
  <sheetData>
    <row r="1" spans="1:3" x14ac:dyDescent="0.2">
      <c r="A1" s="2"/>
      <c r="B1" s="131"/>
      <c r="C1" s="2"/>
    </row>
    <row r="2" spans="1:3" ht="13.5" thickBot="1" x14ac:dyDescent="0.25">
      <c r="A2" s="2"/>
      <c r="B2" s="131"/>
      <c r="C2" s="2"/>
    </row>
    <row r="3" spans="1:3" ht="28.5" customHeight="1" x14ac:dyDescent="0.2">
      <c r="A3" s="132" t="s">
        <v>92</v>
      </c>
      <c r="B3" s="133" t="s">
        <v>93</v>
      </c>
      <c r="C3" s="134" t="s">
        <v>94</v>
      </c>
    </row>
    <row r="4" spans="1:3" ht="76.5" x14ac:dyDescent="0.2">
      <c r="A4" s="135" t="s">
        <v>95</v>
      </c>
      <c r="B4" s="136">
        <v>0</v>
      </c>
      <c r="C4" s="137" t="s">
        <v>96</v>
      </c>
    </row>
    <row r="5" spans="1:3" ht="25.5" x14ac:dyDescent="0.2">
      <c r="A5" s="115" t="s">
        <v>97</v>
      </c>
      <c r="B5" s="136">
        <v>0</v>
      </c>
      <c r="C5" s="138" t="s">
        <v>98</v>
      </c>
    </row>
    <row r="6" spans="1:3" ht="13.5" thickBot="1" x14ac:dyDescent="0.25">
      <c r="A6" s="139" t="s">
        <v>99</v>
      </c>
      <c r="B6" s="140">
        <v>0</v>
      </c>
      <c r="C6" s="141" t="s">
        <v>100</v>
      </c>
    </row>
    <row r="7" spans="1:3" ht="13.5" thickBot="1" x14ac:dyDescent="0.25">
      <c r="A7" s="200"/>
      <c r="B7" s="201"/>
      <c r="C7" s="202"/>
    </row>
    <row r="8" spans="1:3" ht="123.75" customHeight="1" x14ac:dyDescent="0.2">
      <c r="A8" s="142" t="s">
        <v>101</v>
      </c>
      <c r="B8" s="143">
        <v>0</v>
      </c>
      <c r="C8" s="144" t="s">
        <v>102</v>
      </c>
    </row>
    <row r="9" spans="1:3" ht="38.25" x14ac:dyDescent="0.2">
      <c r="A9" s="115" t="s">
        <v>103</v>
      </c>
      <c r="B9" s="136">
        <v>0</v>
      </c>
      <c r="C9" s="138" t="s">
        <v>104</v>
      </c>
    </row>
    <row r="10" spans="1:3" ht="13.5" thickBot="1" x14ac:dyDescent="0.25">
      <c r="A10" s="139" t="s">
        <v>105</v>
      </c>
      <c r="B10" s="140">
        <v>0</v>
      </c>
      <c r="C10" s="141" t="s">
        <v>100</v>
      </c>
    </row>
    <row r="11" spans="1:3" ht="13.5" thickBot="1" x14ac:dyDescent="0.25">
      <c r="A11" s="200"/>
      <c r="B11" s="201"/>
      <c r="C11" s="202"/>
    </row>
    <row r="12" spans="1:3" ht="160.5" customHeight="1" x14ac:dyDescent="0.2">
      <c r="A12" s="142" t="s">
        <v>106</v>
      </c>
      <c r="B12" s="143">
        <v>0</v>
      </c>
      <c r="C12" s="144" t="s">
        <v>107</v>
      </c>
    </row>
    <row r="13" spans="1:3" ht="13.5" thickBot="1" x14ac:dyDescent="0.25">
      <c r="A13" s="145" t="s">
        <v>108</v>
      </c>
      <c r="B13" s="140">
        <v>0</v>
      </c>
      <c r="C13" s="141" t="s">
        <v>109</v>
      </c>
    </row>
    <row r="14" spans="1:3" ht="13.5" thickBot="1" x14ac:dyDescent="0.25">
      <c r="A14" s="203"/>
      <c r="B14" s="204"/>
      <c r="C14" s="205"/>
    </row>
    <row r="15" spans="1:3" ht="27" x14ac:dyDescent="0.2">
      <c r="A15" s="146" t="s">
        <v>110</v>
      </c>
      <c r="B15" s="143">
        <v>0</v>
      </c>
      <c r="C15" s="147" t="s">
        <v>111</v>
      </c>
    </row>
    <row r="16" spans="1:3" ht="38.25" customHeight="1" thickBot="1" x14ac:dyDescent="0.25">
      <c r="A16" s="145" t="s">
        <v>112</v>
      </c>
      <c r="B16" s="140">
        <v>0</v>
      </c>
      <c r="C16" s="141" t="s">
        <v>113</v>
      </c>
    </row>
    <row r="17" spans="1:3" ht="13.5" thickBot="1" x14ac:dyDescent="0.25">
      <c r="A17" s="203"/>
      <c r="B17" s="204"/>
      <c r="C17" s="205"/>
    </row>
    <row r="18" spans="1:3" ht="51" x14ac:dyDescent="0.2">
      <c r="A18" s="142" t="s">
        <v>114</v>
      </c>
      <c r="B18" s="143">
        <v>0</v>
      </c>
      <c r="C18" s="147" t="s">
        <v>115</v>
      </c>
    </row>
    <row r="19" spans="1:3" ht="38.25" x14ac:dyDescent="0.2">
      <c r="A19" s="115" t="s">
        <v>116</v>
      </c>
      <c r="B19" s="136">
        <v>0</v>
      </c>
      <c r="C19" s="138" t="s">
        <v>117</v>
      </c>
    </row>
    <row r="20" spans="1:3" ht="13.5" thickBot="1" x14ac:dyDescent="0.25">
      <c r="A20" s="121" t="s">
        <v>118</v>
      </c>
      <c r="B20" s="148">
        <v>0</v>
      </c>
      <c r="C20" s="149"/>
    </row>
    <row r="21" spans="1:3" x14ac:dyDescent="0.2">
      <c r="A21" s="2"/>
      <c r="B21" s="2"/>
      <c r="C21" s="2"/>
    </row>
  </sheetData>
  <mergeCells count="4">
    <mergeCell ref="A7:C7"/>
    <mergeCell ref="A11:C11"/>
    <mergeCell ref="A14:C14"/>
    <mergeCell ref="A17:C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B301B44F343424CACCC603F1828D144" ma:contentTypeVersion="13" ma:contentTypeDescription="Create a new document." ma:contentTypeScope="" ma:versionID="7348a557ce7cff3ccc94db29dc089b47">
  <xsd:schema xmlns:xsd="http://www.w3.org/2001/XMLSchema" xmlns:xs="http://www.w3.org/2001/XMLSchema" xmlns:p="http://schemas.microsoft.com/office/2006/metadata/properties" xmlns:ns2="39004e1c-5b0d-4a86-8788-6bcc5d100513" xmlns:ns3="4cbf799e-3da6-45fe-90e8-88f96fab0bf0" targetNamespace="http://schemas.microsoft.com/office/2006/metadata/properties" ma:root="true" ma:fieldsID="7fb11e7dc5b5d624c752bfebe120b295" ns2:_="" ns3:_="">
    <xsd:import namespace="39004e1c-5b0d-4a86-8788-6bcc5d100513"/>
    <xsd:import namespace="4cbf799e-3da6-45fe-90e8-88f96fab0b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004e1c-5b0d-4a86-8788-6bcc5d1005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8aef7f-c7ff-48dd-989b-c127c9da82b5"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bf799e-3da6-45fe-90e8-88f96fab0bf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9597e01-1bea-4690-af0a-220676198cc3}" ma:internalName="TaxCatchAll" ma:showField="CatchAllData" ma:web="4cbf799e-3da6-45fe-90e8-88f96fab0b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9004e1c-5b0d-4a86-8788-6bcc5d100513">
      <Terms xmlns="http://schemas.microsoft.com/office/infopath/2007/PartnerControls"/>
    </lcf76f155ced4ddcb4097134ff3c332f>
    <TaxCatchAll xmlns="4cbf799e-3da6-45fe-90e8-88f96fab0bf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a98aef7f-c7ff-48dd-989b-c127c9da82b5" ContentTypeId="0x0101" PreviousValue="false"/>
</file>

<file path=customXml/itemProps1.xml><?xml version="1.0" encoding="utf-8"?>
<ds:datastoreItem xmlns:ds="http://schemas.openxmlformats.org/officeDocument/2006/customXml" ds:itemID="{4CB1FE24-6DC6-4E19-A9F2-217866D0F7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9004e1c-5b0d-4a86-8788-6bcc5d100513"/>
    <ds:schemaRef ds:uri="4cbf799e-3da6-45fe-90e8-88f96fab0b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D8195C-F252-48CB-864B-CB8D2CF8D85F}">
  <ds:schemaRefs>
    <ds:schemaRef ds:uri="http://purl.org/dc/terms/"/>
    <ds:schemaRef ds:uri="http://schemas.microsoft.com/office/2006/metadata/properties"/>
    <ds:schemaRef ds:uri="http://schemas.microsoft.com/office/2006/documentManagement/types"/>
    <ds:schemaRef ds:uri="http://purl.org/dc/elements/1.1/"/>
    <ds:schemaRef ds:uri="http://schemas.openxmlformats.org/package/2006/metadata/core-properties"/>
    <ds:schemaRef ds:uri="936cd4f5-617d-4203-8b96-666fefabc517"/>
    <ds:schemaRef ds:uri="http://schemas.microsoft.com/office/infopath/2007/PartnerControls"/>
    <ds:schemaRef ds:uri="e45da448-bf9c-43e8-8676-7e88d583ded9"/>
    <ds:schemaRef ds:uri="669105be-0214-4e8c-a84e-9c889fb0fdd7"/>
    <ds:schemaRef ds:uri="http://www.w3.org/XML/1998/namespace"/>
    <ds:schemaRef ds:uri="http://purl.org/dc/dcmitype/"/>
    <ds:schemaRef ds:uri="5a72e4b7-6070-4847-be9f-e65292ac8c04"/>
    <ds:schemaRef ds:uri="39004e1c-5b0d-4a86-8788-6bcc5d100513"/>
    <ds:schemaRef ds:uri="4cbf799e-3da6-45fe-90e8-88f96fab0bf0"/>
  </ds:schemaRefs>
</ds:datastoreItem>
</file>

<file path=customXml/itemProps3.xml><?xml version="1.0" encoding="utf-8"?>
<ds:datastoreItem xmlns:ds="http://schemas.openxmlformats.org/officeDocument/2006/customXml" ds:itemID="{27F4CC4E-B275-44EF-92C3-713DC98B5EA6}">
  <ds:schemaRefs>
    <ds:schemaRef ds:uri="http://schemas.microsoft.com/sharepoint/v3/contenttype/forms"/>
  </ds:schemaRefs>
</ds:datastoreItem>
</file>

<file path=customXml/itemProps4.xml><?xml version="1.0" encoding="utf-8"?>
<ds:datastoreItem xmlns:ds="http://schemas.openxmlformats.org/officeDocument/2006/customXml" ds:itemID="{78122A43-4DBE-4D94-BDB2-1754744F2698}">
  <ds:schemaRefs>
    <ds:schemaRef ds:uri="Microsoft.SharePoint.Taxonomy.ContentTypeSync"/>
  </ds:schemaRefs>
</ds:datastoreItem>
</file>

<file path=docMetadata/LabelInfo.xml><?xml version="1.0" encoding="utf-8"?>
<clbl:labelList xmlns:clbl="http://schemas.microsoft.com/office/2020/mipLabelMetadata">
  <clbl:label id="{f15a8a5f-2908-4e36-8b22-7758152fb05a}" enabled="1" method="Standard" siteId="{e063cc03-97c3-4cdc-97ef-72d77cfcc2d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Scope Overview</vt:lpstr>
      <vt:lpstr>WCI Budget Detail</vt:lpstr>
      <vt:lpstr>Budget Detail</vt:lpstr>
      <vt:lpstr>Contractor Rates</vt:lpstr>
      <vt:lpstr>ESA Rates</vt:lpstr>
      <vt:lpstr>'Budget Detail'!Print_Area</vt:lpstr>
      <vt:lpstr>'WCI Budget Detail'!Print_Area</vt:lpstr>
      <vt:lpstr>'Budget Detail'!Print_Titles</vt:lpstr>
      <vt:lpstr>'WCI Budget Detail'!Print_Titles</vt:lpstr>
    </vt:vector>
  </TitlesOfParts>
  <Manager/>
  <Company>Personal Computer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 Tabon.</dc:creator>
  <cp:keywords/>
  <dc:description/>
  <cp:lastModifiedBy>Ryan Thompson</cp:lastModifiedBy>
  <cp:revision/>
  <dcterms:created xsi:type="dcterms:W3CDTF">1999-06-28T22:09:16Z</dcterms:created>
  <dcterms:modified xsi:type="dcterms:W3CDTF">2026-10-27T23:57:30Z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0x0101000B301B44F343424CACCC603F1828D144</vt:lpwstr>
  </property>
  <property fmtid="{D5CDD505-2E9C-101B-9397-08002B2CF9AE}" pid="3" name="MediaServiceImageTags">
    <vt:lpwstr/>
  </property>
  <property fmtid="{D5CDD505-2E9C-101B-9397-08002B2CF9AE}" pid="4" name="MSIP_Label_bc3dd1c7-2c40-4a31-84b2-bec599b321a0_Enabled">
    <vt:lpwstr>true</vt:lpwstr>
  </property>
  <property fmtid="{D5CDD505-2E9C-101B-9397-08002B2CF9AE}" pid="5" name="MSIP_Label_bc3dd1c7-2c40-4a31-84b2-bec599b321a0_SetDate">
    <vt:lpwstr>2024-10-15T18:56:32Z</vt:lpwstr>
  </property>
  <property fmtid="{D5CDD505-2E9C-101B-9397-08002B2CF9AE}" pid="6" name="MSIP_Label_bc3dd1c7-2c40-4a31-84b2-bec599b321a0_Method">
    <vt:lpwstr>Standard</vt:lpwstr>
  </property>
  <property fmtid="{D5CDD505-2E9C-101B-9397-08002B2CF9AE}" pid="7" name="MSIP_Label_bc3dd1c7-2c40-4a31-84b2-bec599b321a0_Name">
    <vt:lpwstr>bc3dd1c7-2c40-4a31-84b2-bec599b321a0</vt:lpwstr>
  </property>
  <property fmtid="{D5CDD505-2E9C-101B-9397-08002B2CF9AE}" pid="8" name="MSIP_Label_bc3dd1c7-2c40-4a31-84b2-bec599b321a0_SiteId">
    <vt:lpwstr>5b2a8fee-4c95-4bdc-8aae-196f8aacb1b6</vt:lpwstr>
  </property>
  <property fmtid="{D5CDD505-2E9C-101B-9397-08002B2CF9AE}" pid="9" name="MSIP_Label_bc3dd1c7-2c40-4a31-84b2-bec599b321a0_ActionId">
    <vt:lpwstr>f9b9163f-53f0-46bb-b848-69f61410fec4</vt:lpwstr>
  </property>
  <property fmtid="{D5CDD505-2E9C-101B-9397-08002B2CF9AE}" pid="10" name="MSIP_Label_bc3dd1c7-2c40-4a31-84b2-bec599b321a0_ContentBits">
    <vt:lpwstr>0</vt:lpwstr>
  </property>
  <property fmtid="{D5CDD505-2E9C-101B-9397-08002B2CF9AE}" pid="11" name="Order">
    <vt:r8>100</vt:r8>
  </property>
</Properties>
</file>